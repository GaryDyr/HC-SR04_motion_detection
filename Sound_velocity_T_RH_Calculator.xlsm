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60" yWindow="405" windowWidth="21795" windowHeight="9510"/>
  </bookViews>
  <sheets>
    <sheet name="Sheet1" sheetId="1" r:id="rId1"/>
    <sheet name="Sheet2" sheetId="2" r:id="rId2"/>
    <sheet name="Calculator" sheetId="3" r:id="rId3"/>
  </sheets>
  <functionGroups/>
  <definedNames>
    <definedName name="solver_adj" localSheetId="1" hidden="1">Sheet2!$C$65:$G$65</definedName>
    <definedName name="solver_cvg" localSheetId="1" hidden="1">0.0001</definedName>
    <definedName name="solver_drv" localSheetId="1" hidden="1">1</definedName>
    <definedName name="solver_est" localSheetId="1" hidden="1">1</definedName>
    <definedName name="solver_itr" localSheetId="1" hidden="1">100</definedName>
    <definedName name="solver_lin" localSheetId="1" hidden="1">2</definedName>
    <definedName name="solver_neg" localSheetId="1" hidden="1">2</definedName>
    <definedName name="solver_num" localSheetId="1" hidden="1">0</definedName>
    <definedName name="solver_nwt" localSheetId="1" hidden="1">1</definedName>
    <definedName name="solver_opt" localSheetId="1" hidden="1">Sheet2!$C$171</definedName>
    <definedName name="solver_pre" localSheetId="1" hidden="1">0.000001</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2</definedName>
    <definedName name="solver_val" localSheetId="1" hidden="1">0</definedName>
  </definedNames>
  <calcPr calcId="125725"/>
</workbook>
</file>

<file path=xl/calcChain.xml><?xml version="1.0" encoding="utf-8"?>
<calcChain xmlns="http://schemas.openxmlformats.org/spreadsheetml/2006/main">
  <c r="H12" i="3"/>
  <c r="F8"/>
  <c r="D67" i="2"/>
  <c r="E67"/>
  <c r="F67"/>
  <c r="G67"/>
  <c r="H67"/>
  <c r="I67"/>
  <c r="J67"/>
  <c r="K67"/>
  <c r="L67"/>
  <c r="M67"/>
  <c r="N67"/>
  <c r="O67"/>
  <c r="P67"/>
  <c r="P120" s="1"/>
  <c r="Q67"/>
  <c r="R67"/>
  <c r="S67"/>
  <c r="T67"/>
  <c r="U67"/>
  <c r="V67"/>
  <c r="D68"/>
  <c r="E68"/>
  <c r="E121" s="1"/>
  <c r="F68"/>
  <c r="G68"/>
  <c r="H68"/>
  <c r="I68"/>
  <c r="J68"/>
  <c r="K68"/>
  <c r="L68"/>
  <c r="M68"/>
  <c r="N68"/>
  <c r="O68"/>
  <c r="P68"/>
  <c r="Q68"/>
  <c r="Q121" s="1"/>
  <c r="R68"/>
  <c r="S68"/>
  <c r="T68"/>
  <c r="U68"/>
  <c r="V68"/>
  <c r="D69"/>
  <c r="E69"/>
  <c r="F69"/>
  <c r="G69"/>
  <c r="H69"/>
  <c r="I69"/>
  <c r="J69"/>
  <c r="K69"/>
  <c r="L69"/>
  <c r="M69"/>
  <c r="N69"/>
  <c r="O69"/>
  <c r="P69"/>
  <c r="Q69"/>
  <c r="R69"/>
  <c r="S69"/>
  <c r="T69"/>
  <c r="U69"/>
  <c r="V69"/>
  <c r="D70"/>
  <c r="E70"/>
  <c r="F70"/>
  <c r="G70"/>
  <c r="G123" s="1"/>
  <c r="H70"/>
  <c r="I70"/>
  <c r="J70"/>
  <c r="K70"/>
  <c r="L70"/>
  <c r="M70"/>
  <c r="N70"/>
  <c r="O70"/>
  <c r="O123" s="1"/>
  <c r="P70"/>
  <c r="Q70"/>
  <c r="R70"/>
  <c r="S70"/>
  <c r="T70"/>
  <c r="U70"/>
  <c r="V70"/>
  <c r="D71"/>
  <c r="E71"/>
  <c r="F71"/>
  <c r="G71"/>
  <c r="H71"/>
  <c r="I71"/>
  <c r="J71"/>
  <c r="K71"/>
  <c r="L71"/>
  <c r="M71"/>
  <c r="N71"/>
  <c r="O71"/>
  <c r="P71"/>
  <c r="Q71"/>
  <c r="R71"/>
  <c r="S71"/>
  <c r="T71"/>
  <c r="T124" s="1"/>
  <c r="U71"/>
  <c r="V71"/>
  <c r="D72"/>
  <c r="E72"/>
  <c r="F72"/>
  <c r="G72"/>
  <c r="H72"/>
  <c r="I72"/>
  <c r="J72"/>
  <c r="K72"/>
  <c r="L72"/>
  <c r="M72"/>
  <c r="M125" s="1"/>
  <c r="N72"/>
  <c r="O72"/>
  <c r="P72"/>
  <c r="Q72"/>
  <c r="R72"/>
  <c r="S72"/>
  <c r="T72"/>
  <c r="U72"/>
  <c r="U125" s="1"/>
  <c r="V72"/>
  <c r="D73"/>
  <c r="E73"/>
  <c r="F73"/>
  <c r="G73"/>
  <c r="H73"/>
  <c r="I73"/>
  <c r="J73"/>
  <c r="K73"/>
  <c r="L73"/>
  <c r="M73"/>
  <c r="N73"/>
  <c r="O73"/>
  <c r="P73"/>
  <c r="Q73"/>
  <c r="R73"/>
  <c r="S73"/>
  <c r="T73"/>
  <c r="U73"/>
  <c r="V73"/>
  <c r="D74"/>
  <c r="E74"/>
  <c r="F74"/>
  <c r="G74"/>
  <c r="H74"/>
  <c r="I74"/>
  <c r="J74"/>
  <c r="K74"/>
  <c r="L74"/>
  <c r="M74"/>
  <c r="N74"/>
  <c r="O74"/>
  <c r="P74"/>
  <c r="Q74"/>
  <c r="R74"/>
  <c r="S74"/>
  <c r="S127" s="1"/>
  <c r="T74"/>
  <c r="U74"/>
  <c r="V74"/>
  <c r="D75"/>
  <c r="E75"/>
  <c r="F75"/>
  <c r="G75"/>
  <c r="H75"/>
  <c r="I75"/>
  <c r="J75"/>
  <c r="K75"/>
  <c r="L75"/>
  <c r="M75"/>
  <c r="N75"/>
  <c r="O75"/>
  <c r="P75"/>
  <c r="Q75"/>
  <c r="R75"/>
  <c r="S75"/>
  <c r="T75"/>
  <c r="U75"/>
  <c r="V75"/>
  <c r="D76"/>
  <c r="E76"/>
  <c r="F76"/>
  <c r="G76"/>
  <c r="H76"/>
  <c r="I76"/>
  <c r="J76"/>
  <c r="K76"/>
  <c r="L76"/>
  <c r="M76"/>
  <c r="N76"/>
  <c r="O76"/>
  <c r="P76"/>
  <c r="Q76"/>
  <c r="Q129" s="1"/>
  <c r="R76"/>
  <c r="S76"/>
  <c r="T76"/>
  <c r="U76"/>
  <c r="V76"/>
  <c r="D77"/>
  <c r="E77"/>
  <c r="F77"/>
  <c r="G77"/>
  <c r="H77"/>
  <c r="I77"/>
  <c r="J77"/>
  <c r="K77"/>
  <c r="L77"/>
  <c r="M77"/>
  <c r="N77"/>
  <c r="O77"/>
  <c r="P77"/>
  <c r="Q77"/>
  <c r="R77"/>
  <c r="S77"/>
  <c r="T77"/>
  <c r="U77"/>
  <c r="V77"/>
  <c r="D78"/>
  <c r="E78"/>
  <c r="F78"/>
  <c r="G78"/>
  <c r="H78"/>
  <c r="I78"/>
  <c r="J78"/>
  <c r="K78"/>
  <c r="L78"/>
  <c r="M78"/>
  <c r="N78"/>
  <c r="O78"/>
  <c r="P78"/>
  <c r="Q78"/>
  <c r="R78"/>
  <c r="S78"/>
  <c r="T78"/>
  <c r="U78"/>
  <c r="V78"/>
  <c r="D79"/>
  <c r="E79"/>
  <c r="F79"/>
  <c r="G79"/>
  <c r="H79"/>
  <c r="I79"/>
  <c r="J79"/>
  <c r="K79"/>
  <c r="L79"/>
  <c r="M79"/>
  <c r="N79"/>
  <c r="O79"/>
  <c r="P79"/>
  <c r="Q79"/>
  <c r="R79"/>
  <c r="S79"/>
  <c r="T79"/>
  <c r="U79"/>
  <c r="V79"/>
  <c r="D80"/>
  <c r="E80"/>
  <c r="F80"/>
  <c r="G80"/>
  <c r="H80"/>
  <c r="I80"/>
  <c r="J80"/>
  <c r="K80"/>
  <c r="L80"/>
  <c r="M80"/>
  <c r="M133" s="1"/>
  <c r="N80"/>
  <c r="O80"/>
  <c r="P80"/>
  <c r="Q80"/>
  <c r="Q133" s="1"/>
  <c r="R80"/>
  <c r="S80"/>
  <c r="T80"/>
  <c r="U80"/>
  <c r="V80"/>
  <c r="D81"/>
  <c r="E81"/>
  <c r="F81"/>
  <c r="G81"/>
  <c r="H81"/>
  <c r="I81"/>
  <c r="J81"/>
  <c r="K81"/>
  <c r="L81"/>
  <c r="M81"/>
  <c r="N81"/>
  <c r="O81"/>
  <c r="P81"/>
  <c r="Q81"/>
  <c r="R81"/>
  <c r="S81"/>
  <c r="T81"/>
  <c r="U81"/>
  <c r="V81"/>
  <c r="D82"/>
  <c r="E82"/>
  <c r="F82"/>
  <c r="G82"/>
  <c r="H82"/>
  <c r="I82"/>
  <c r="J82"/>
  <c r="K82"/>
  <c r="L82"/>
  <c r="M82"/>
  <c r="N82"/>
  <c r="O82"/>
  <c r="P82"/>
  <c r="Q82"/>
  <c r="R82"/>
  <c r="S82"/>
  <c r="S135" s="1"/>
  <c r="T82"/>
  <c r="U82"/>
  <c r="V82"/>
  <c r="D83"/>
  <c r="E83"/>
  <c r="F83"/>
  <c r="G83"/>
  <c r="H83"/>
  <c r="I83"/>
  <c r="J83"/>
  <c r="K83"/>
  <c r="L83"/>
  <c r="M83"/>
  <c r="N83"/>
  <c r="O83"/>
  <c r="P83"/>
  <c r="Q83"/>
  <c r="R83"/>
  <c r="S83"/>
  <c r="T83"/>
  <c r="U83"/>
  <c r="V83"/>
  <c r="D84"/>
  <c r="E84"/>
  <c r="F84"/>
  <c r="G84"/>
  <c r="H84"/>
  <c r="I84"/>
  <c r="J84"/>
  <c r="K84"/>
  <c r="L84"/>
  <c r="M84"/>
  <c r="N84"/>
  <c r="O84"/>
  <c r="P84"/>
  <c r="Q84"/>
  <c r="Q137" s="1"/>
  <c r="R84"/>
  <c r="S84"/>
  <c r="T84"/>
  <c r="U84"/>
  <c r="V84"/>
  <c r="D85"/>
  <c r="E85"/>
  <c r="F85"/>
  <c r="G85"/>
  <c r="H85"/>
  <c r="I85"/>
  <c r="J85"/>
  <c r="K85"/>
  <c r="L85"/>
  <c r="M85"/>
  <c r="N85"/>
  <c r="O85"/>
  <c r="P85"/>
  <c r="Q85"/>
  <c r="R85"/>
  <c r="S85"/>
  <c r="T85"/>
  <c r="U85"/>
  <c r="V85"/>
  <c r="D86"/>
  <c r="E86"/>
  <c r="F86"/>
  <c r="G86"/>
  <c r="H86"/>
  <c r="I86"/>
  <c r="J86"/>
  <c r="K86"/>
  <c r="L86"/>
  <c r="M86"/>
  <c r="N86"/>
  <c r="O86"/>
  <c r="P86"/>
  <c r="Q86"/>
  <c r="R86"/>
  <c r="S86"/>
  <c r="T86"/>
  <c r="U86"/>
  <c r="V86"/>
  <c r="D87"/>
  <c r="E87"/>
  <c r="F87"/>
  <c r="G87"/>
  <c r="H87"/>
  <c r="I87"/>
  <c r="J87"/>
  <c r="K87"/>
  <c r="L87"/>
  <c r="M87"/>
  <c r="N87"/>
  <c r="O87"/>
  <c r="P87"/>
  <c r="Q87"/>
  <c r="R87"/>
  <c r="S87"/>
  <c r="T87"/>
  <c r="U87"/>
  <c r="V87"/>
  <c r="D88"/>
  <c r="E88"/>
  <c r="F88"/>
  <c r="G88"/>
  <c r="H88"/>
  <c r="I88"/>
  <c r="J88"/>
  <c r="K88"/>
  <c r="L88"/>
  <c r="M88"/>
  <c r="N88"/>
  <c r="O88"/>
  <c r="P88"/>
  <c r="Q88"/>
  <c r="R88"/>
  <c r="S88"/>
  <c r="T88"/>
  <c r="U88"/>
  <c r="V88"/>
  <c r="D89"/>
  <c r="E89"/>
  <c r="F89"/>
  <c r="G89"/>
  <c r="H89"/>
  <c r="I89"/>
  <c r="J89"/>
  <c r="K89"/>
  <c r="L89"/>
  <c r="M89"/>
  <c r="N89"/>
  <c r="O89"/>
  <c r="P89"/>
  <c r="Q89"/>
  <c r="R89"/>
  <c r="S89"/>
  <c r="S142" s="1"/>
  <c r="T89"/>
  <c r="U89"/>
  <c r="V89"/>
  <c r="D90"/>
  <c r="E90"/>
  <c r="F90"/>
  <c r="G90"/>
  <c r="H90"/>
  <c r="I90"/>
  <c r="J90"/>
  <c r="K90"/>
  <c r="L90"/>
  <c r="M90"/>
  <c r="N90"/>
  <c r="O90"/>
  <c r="P90"/>
  <c r="Q90"/>
  <c r="R90"/>
  <c r="S90"/>
  <c r="T90"/>
  <c r="U90"/>
  <c r="V90"/>
  <c r="D91"/>
  <c r="E91"/>
  <c r="F91"/>
  <c r="G91"/>
  <c r="H91"/>
  <c r="I91"/>
  <c r="J91"/>
  <c r="K91"/>
  <c r="L91"/>
  <c r="M91"/>
  <c r="N91"/>
  <c r="O91"/>
  <c r="P91"/>
  <c r="Q91"/>
  <c r="R91"/>
  <c r="S91"/>
  <c r="T91"/>
  <c r="U91"/>
  <c r="V91"/>
  <c r="D92"/>
  <c r="E92"/>
  <c r="F92"/>
  <c r="G92"/>
  <c r="H92"/>
  <c r="I92"/>
  <c r="J92"/>
  <c r="K92"/>
  <c r="L92"/>
  <c r="M92"/>
  <c r="N92"/>
  <c r="O92"/>
  <c r="P92"/>
  <c r="Q92"/>
  <c r="R92"/>
  <c r="S92"/>
  <c r="T92"/>
  <c r="U92"/>
  <c r="V92"/>
  <c r="D93"/>
  <c r="E93"/>
  <c r="F93"/>
  <c r="G93"/>
  <c r="H93"/>
  <c r="I93"/>
  <c r="J93"/>
  <c r="K93"/>
  <c r="L93"/>
  <c r="M93"/>
  <c r="N93"/>
  <c r="O93"/>
  <c r="P93"/>
  <c r="Q93"/>
  <c r="R93"/>
  <c r="S93"/>
  <c r="T93"/>
  <c r="U93"/>
  <c r="V93"/>
  <c r="D94"/>
  <c r="E94"/>
  <c r="F94"/>
  <c r="G94"/>
  <c r="H94"/>
  <c r="I94"/>
  <c r="J94"/>
  <c r="K94"/>
  <c r="L94"/>
  <c r="M94"/>
  <c r="N94"/>
  <c r="O94"/>
  <c r="P94"/>
  <c r="Q94"/>
  <c r="R94"/>
  <c r="S94"/>
  <c r="T94"/>
  <c r="U94"/>
  <c r="V94"/>
  <c r="D95"/>
  <c r="E95"/>
  <c r="F95"/>
  <c r="G95"/>
  <c r="H95"/>
  <c r="I95"/>
  <c r="J95"/>
  <c r="K95"/>
  <c r="L95"/>
  <c r="M95"/>
  <c r="N95"/>
  <c r="O95"/>
  <c r="P95"/>
  <c r="Q95"/>
  <c r="R95"/>
  <c r="S95"/>
  <c r="T95"/>
  <c r="U95"/>
  <c r="V95"/>
  <c r="D96"/>
  <c r="E96"/>
  <c r="F96"/>
  <c r="G96"/>
  <c r="H96"/>
  <c r="I96"/>
  <c r="J96"/>
  <c r="K96"/>
  <c r="L96"/>
  <c r="M96"/>
  <c r="N96"/>
  <c r="O96"/>
  <c r="P96"/>
  <c r="Q96"/>
  <c r="R96"/>
  <c r="S96"/>
  <c r="T96"/>
  <c r="U96"/>
  <c r="V96"/>
  <c r="D97"/>
  <c r="E97"/>
  <c r="F97"/>
  <c r="G97"/>
  <c r="H97"/>
  <c r="I97"/>
  <c r="J97"/>
  <c r="K97"/>
  <c r="L97"/>
  <c r="M97"/>
  <c r="N97"/>
  <c r="O97"/>
  <c r="P97"/>
  <c r="Q97"/>
  <c r="R97"/>
  <c r="S97"/>
  <c r="T97"/>
  <c r="U97"/>
  <c r="V97"/>
  <c r="D98"/>
  <c r="E98"/>
  <c r="F98"/>
  <c r="G98"/>
  <c r="H98"/>
  <c r="I98"/>
  <c r="J98"/>
  <c r="K98"/>
  <c r="L98"/>
  <c r="M98"/>
  <c r="N98"/>
  <c r="O98"/>
  <c r="P98"/>
  <c r="Q98"/>
  <c r="R98"/>
  <c r="S98"/>
  <c r="T98"/>
  <c r="U98"/>
  <c r="V98"/>
  <c r="D99"/>
  <c r="E99"/>
  <c r="F99"/>
  <c r="G99"/>
  <c r="H99"/>
  <c r="I99"/>
  <c r="J99"/>
  <c r="K99"/>
  <c r="L99"/>
  <c r="M99"/>
  <c r="N99"/>
  <c r="O99"/>
  <c r="P99"/>
  <c r="Q99"/>
  <c r="R99"/>
  <c r="S99"/>
  <c r="T99"/>
  <c r="U99"/>
  <c r="V99"/>
  <c r="D100"/>
  <c r="E100"/>
  <c r="F100"/>
  <c r="G100"/>
  <c r="H100"/>
  <c r="I100"/>
  <c r="J100"/>
  <c r="K100"/>
  <c r="L100"/>
  <c r="M100"/>
  <c r="N100"/>
  <c r="O100"/>
  <c r="P100"/>
  <c r="Q100"/>
  <c r="R100"/>
  <c r="S100"/>
  <c r="T100"/>
  <c r="U100"/>
  <c r="V100"/>
  <c r="D101"/>
  <c r="E101"/>
  <c r="F101"/>
  <c r="G101"/>
  <c r="H101"/>
  <c r="I101"/>
  <c r="J101"/>
  <c r="K101"/>
  <c r="L101"/>
  <c r="M101"/>
  <c r="N101"/>
  <c r="O101"/>
  <c r="P101"/>
  <c r="Q101"/>
  <c r="R101"/>
  <c r="S101"/>
  <c r="T101"/>
  <c r="U101"/>
  <c r="V101"/>
  <c r="D102"/>
  <c r="E102"/>
  <c r="F102"/>
  <c r="G102"/>
  <c r="H102"/>
  <c r="I102"/>
  <c r="J102"/>
  <c r="K102"/>
  <c r="L102"/>
  <c r="M102"/>
  <c r="N102"/>
  <c r="O102"/>
  <c r="P102"/>
  <c r="Q102"/>
  <c r="R102"/>
  <c r="S102"/>
  <c r="T102"/>
  <c r="U102"/>
  <c r="V102"/>
  <c r="D103"/>
  <c r="E103"/>
  <c r="F103"/>
  <c r="G103"/>
  <c r="H103"/>
  <c r="I103"/>
  <c r="J103"/>
  <c r="K103"/>
  <c r="L103"/>
  <c r="M103"/>
  <c r="N103"/>
  <c r="O103"/>
  <c r="P103"/>
  <c r="Q103"/>
  <c r="R103"/>
  <c r="S103"/>
  <c r="T103"/>
  <c r="U103"/>
  <c r="V103"/>
  <c r="D104"/>
  <c r="E104"/>
  <c r="F104"/>
  <c r="G104"/>
  <c r="H104"/>
  <c r="I104"/>
  <c r="J104"/>
  <c r="K104"/>
  <c r="L104"/>
  <c r="M104"/>
  <c r="N104"/>
  <c r="O104"/>
  <c r="P104"/>
  <c r="Q104"/>
  <c r="R104"/>
  <c r="S104"/>
  <c r="T104"/>
  <c r="U104"/>
  <c r="U157" s="1"/>
  <c r="V104"/>
  <c r="D105"/>
  <c r="E105"/>
  <c r="F105"/>
  <c r="G105"/>
  <c r="H105"/>
  <c r="I105"/>
  <c r="J105"/>
  <c r="K105"/>
  <c r="L105"/>
  <c r="M105"/>
  <c r="N105"/>
  <c r="O105"/>
  <c r="P105"/>
  <c r="Q105"/>
  <c r="R105"/>
  <c r="S105"/>
  <c r="T105"/>
  <c r="T158" s="1"/>
  <c r="U105"/>
  <c r="V105"/>
  <c r="D106"/>
  <c r="E106"/>
  <c r="F106"/>
  <c r="G106"/>
  <c r="H106"/>
  <c r="I106"/>
  <c r="J106"/>
  <c r="K106"/>
  <c r="L106"/>
  <c r="M106"/>
  <c r="N106"/>
  <c r="O106"/>
  <c r="P106"/>
  <c r="Q106"/>
  <c r="R106"/>
  <c r="S106"/>
  <c r="T106"/>
  <c r="U106"/>
  <c r="V106"/>
  <c r="D107"/>
  <c r="E107"/>
  <c r="F107"/>
  <c r="G107"/>
  <c r="H107"/>
  <c r="I107"/>
  <c r="J107"/>
  <c r="K107"/>
  <c r="L107"/>
  <c r="M107"/>
  <c r="N107"/>
  <c r="O107"/>
  <c r="P107"/>
  <c r="Q107"/>
  <c r="R107"/>
  <c r="S107"/>
  <c r="S160" s="1"/>
  <c r="T107"/>
  <c r="U107"/>
  <c r="V107"/>
  <c r="D108"/>
  <c r="E108"/>
  <c r="F108"/>
  <c r="G108"/>
  <c r="H108"/>
  <c r="I108"/>
  <c r="J108"/>
  <c r="K108"/>
  <c r="L108"/>
  <c r="M108"/>
  <c r="N108"/>
  <c r="O108"/>
  <c r="P108"/>
  <c r="Q108"/>
  <c r="R108"/>
  <c r="S108"/>
  <c r="T108"/>
  <c r="U108"/>
  <c r="V108"/>
  <c r="D109"/>
  <c r="E109"/>
  <c r="F109"/>
  <c r="G109"/>
  <c r="H109"/>
  <c r="I109"/>
  <c r="J109"/>
  <c r="K109"/>
  <c r="L109"/>
  <c r="M109"/>
  <c r="N109"/>
  <c r="O109"/>
  <c r="P109"/>
  <c r="P162" s="1"/>
  <c r="Q109"/>
  <c r="R109"/>
  <c r="S109"/>
  <c r="T109"/>
  <c r="U109"/>
  <c r="V109"/>
  <c r="D110"/>
  <c r="E110"/>
  <c r="F110"/>
  <c r="G110"/>
  <c r="H110"/>
  <c r="I110"/>
  <c r="J110"/>
  <c r="K110"/>
  <c r="L110"/>
  <c r="M110"/>
  <c r="N110"/>
  <c r="O110"/>
  <c r="P110"/>
  <c r="Q110"/>
  <c r="R110"/>
  <c r="S110"/>
  <c r="T110"/>
  <c r="U110"/>
  <c r="V110"/>
  <c r="D111"/>
  <c r="E111"/>
  <c r="F111"/>
  <c r="G111"/>
  <c r="H111"/>
  <c r="I111"/>
  <c r="J111"/>
  <c r="K111"/>
  <c r="L111"/>
  <c r="M111"/>
  <c r="N111"/>
  <c r="O111"/>
  <c r="P111"/>
  <c r="Q111"/>
  <c r="R111"/>
  <c r="S111"/>
  <c r="T111"/>
  <c r="T164" s="1"/>
  <c r="U111"/>
  <c r="V111"/>
  <c r="D112"/>
  <c r="E112"/>
  <c r="F112"/>
  <c r="G112"/>
  <c r="H112"/>
  <c r="I112"/>
  <c r="J112"/>
  <c r="K112"/>
  <c r="L112"/>
  <c r="M112"/>
  <c r="N112"/>
  <c r="O112"/>
  <c r="P112"/>
  <c r="Q112"/>
  <c r="R112"/>
  <c r="S112"/>
  <c r="T112"/>
  <c r="T165" s="1"/>
  <c r="U112"/>
  <c r="V112"/>
  <c r="D113"/>
  <c r="E113"/>
  <c r="F113"/>
  <c r="G113"/>
  <c r="H113"/>
  <c r="I113"/>
  <c r="J113"/>
  <c r="K113"/>
  <c r="L113"/>
  <c r="M113"/>
  <c r="N113"/>
  <c r="O113"/>
  <c r="P113"/>
  <c r="Q113"/>
  <c r="R113"/>
  <c r="S113"/>
  <c r="T113"/>
  <c r="U113"/>
  <c r="V113"/>
  <c r="D114"/>
  <c r="E114"/>
  <c r="F114"/>
  <c r="G114"/>
  <c r="H114"/>
  <c r="I114"/>
  <c r="J114"/>
  <c r="K114"/>
  <c r="L114"/>
  <c r="M114"/>
  <c r="N114"/>
  <c r="O114"/>
  <c r="P114"/>
  <c r="Q114"/>
  <c r="R114"/>
  <c r="S114"/>
  <c r="T114"/>
  <c r="U114"/>
  <c r="V114"/>
  <c r="D115"/>
  <c r="E115"/>
  <c r="F115"/>
  <c r="G115"/>
  <c r="H115"/>
  <c r="I115"/>
  <c r="J115"/>
  <c r="K115"/>
  <c r="L115"/>
  <c r="M115"/>
  <c r="N115"/>
  <c r="O115"/>
  <c r="P115"/>
  <c r="Q115"/>
  <c r="R115"/>
  <c r="R168" s="1"/>
  <c r="S115"/>
  <c r="T115"/>
  <c r="U115"/>
  <c r="V115"/>
  <c r="D116"/>
  <c r="E116"/>
  <c r="F116"/>
  <c r="G116"/>
  <c r="H116"/>
  <c r="I116"/>
  <c r="I169" s="1"/>
  <c r="J116"/>
  <c r="K116"/>
  <c r="L116"/>
  <c r="M116"/>
  <c r="N116"/>
  <c r="O116"/>
  <c r="O169" s="1"/>
  <c r="P116"/>
  <c r="P169" s="1"/>
  <c r="Q116"/>
  <c r="R116"/>
  <c r="R169" s="1"/>
  <c r="S116"/>
  <c r="S169" s="1"/>
  <c r="T116"/>
  <c r="T169" s="1"/>
  <c r="U116"/>
  <c r="U169" s="1"/>
  <c r="V116"/>
  <c r="D117"/>
  <c r="E117"/>
  <c r="F117"/>
  <c r="G117"/>
  <c r="H117"/>
  <c r="I117"/>
  <c r="I170" s="1"/>
  <c r="J117"/>
  <c r="K117"/>
  <c r="K170" s="1"/>
  <c r="L117"/>
  <c r="M117"/>
  <c r="N117"/>
  <c r="O117"/>
  <c r="O170" s="1"/>
  <c r="P117"/>
  <c r="P170" s="1"/>
  <c r="Q117"/>
  <c r="Q170" s="1"/>
  <c r="R117"/>
  <c r="R170" s="1"/>
  <c r="S117"/>
  <c r="S170" s="1"/>
  <c r="T117"/>
  <c r="T170" s="1"/>
  <c r="U117"/>
  <c r="U170" s="1"/>
  <c r="V117"/>
  <c r="C117"/>
  <c r="C68"/>
  <c r="C121" s="1"/>
  <c r="C69"/>
  <c r="C122" s="1"/>
  <c r="C70"/>
  <c r="C123" s="1"/>
  <c r="C71"/>
  <c r="C72"/>
  <c r="C125" s="1"/>
  <c r="C73"/>
  <c r="C74"/>
  <c r="C75"/>
  <c r="C128" s="1"/>
  <c r="C76"/>
  <c r="C77"/>
  <c r="C78"/>
  <c r="C79"/>
  <c r="C80"/>
  <c r="C81"/>
  <c r="C82"/>
  <c r="C83"/>
  <c r="C136" s="1"/>
  <c r="C84"/>
  <c r="C85"/>
  <c r="C86"/>
  <c r="C87"/>
  <c r="C88"/>
  <c r="C89"/>
  <c r="C90"/>
  <c r="C91"/>
  <c r="C92"/>
  <c r="C93"/>
  <c r="C94"/>
  <c r="C95"/>
  <c r="C96"/>
  <c r="C97"/>
  <c r="C98"/>
  <c r="C99"/>
  <c r="C100"/>
  <c r="C101"/>
  <c r="C102"/>
  <c r="C103"/>
  <c r="C104"/>
  <c r="C105"/>
  <c r="C106"/>
  <c r="C107"/>
  <c r="C108"/>
  <c r="C109"/>
  <c r="C110"/>
  <c r="C111"/>
  <c r="C112"/>
  <c r="C113"/>
  <c r="C114"/>
  <c r="C115"/>
  <c r="C168" s="1"/>
  <c r="C116"/>
  <c r="C67"/>
  <c r="C120" s="1"/>
  <c r="D120"/>
  <c r="E120"/>
  <c r="D122"/>
  <c r="E122"/>
  <c r="F122"/>
  <c r="H122"/>
  <c r="E126"/>
  <c r="P122"/>
  <c r="F121"/>
  <c r="D123"/>
  <c r="E123"/>
  <c r="F123"/>
  <c r="D125"/>
  <c r="D129"/>
  <c r="T125"/>
  <c r="D134"/>
  <c r="S129"/>
  <c r="F137"/>
  <c r="R136"/>
  <c r="N140"/>
  <c r="T138"/>
  <c r="T141"/>
  <c r="T154"/>
  <c r="T157"/>
  <c r="Q169"/>
  <c r="F120"/>
  <c r="G120"/>
  <c r="J120"/>
  <c r="K120"/>
  <c r="N120"/>
  <c r="O120"/>
  <c r="R120"/>
  <c r="S120"/>
  <c r="U120"/>
  <c r="H121"/>
  <c r="L121"/>
  <c r="S124"/>
  <c r="S136"/>
  <c r="L127"/>
  <c r="K138"/>
  <c r="D121"/>
  <c r="T121"/>
  <c r="P121"/>
  <c r="P125"/>
  <c r="S128"/>
  <c r="R131"/>
  <c r="K121"/>
  <c r="O121"/>
  <c r="S121"/>
  <c r="S122"/>
  <c r="T123"/>
  <c r="S125"/>
  <c r="T130"/>
  <c r="S133"/>
  <c r="T134"/>
  <c r="G121"/>
  <c r="T122"/>
  <c r="B12" i="3"/>
  <c r="Q132" i="2" l="1"/>
  <c r="M122"/>
  <c r="I124"/>
  <c r="T140"/>
  <c r="N133"/>
  <c r="U133"/>
  <c r="Q120"/>
  <c r="J135"/>
  <c r="J121"/>
  <c r="U134"/>
  <c r="M120"/>
  <c r="U131"/>
  <c r="N121"/>
  <c r="U130"/>
  <c r="R121"/>
  <c r="I120"/>
  <c r="C159"/>
  <c r="R142"/>
  <c r="U139"/>
  <c r="U122"/>
  <c r="U129"/>
  <c r="T143"/>
  <c r="M144"/>
  <c r="U148"/>
  <c r="U141"/>
  <c r="T147"/>
  <c r="T148"/>
  <c r="T142"/>
  <c r="U132"/>
  <c r="T139"/>
  <c r="T146"/>
  <c r="T150"/>
  <c r="T159"/>
  <c r="Q126"/>
  <c r="U126"/>
  <c r="U124"/>
  <c r="N145"/>
  <c r="D127"/>
  <c r="L123"/>
  <c r="U152"/>
  <c r="T156"/>
  <c r="S164"/>
  <c r="T155"/>
  <c r="T149"/>
  <c r="Q127"/>
  <c r="U165"/>
  <c r="Q156"/>
  <c r="U158"/>
  <c r="U149"/>
  <c r="U145"/>
  <c r="H127"/>
  <c r="U128"/>
  <c r="P137"/>
  <c r="S156"/>
  <c r="S152"/>
  <c r="T132"/>
  <c r="S140"/>
  <c r="S161"/>
  <c r="Q131"/>
  <c r="S149"/>
  <c r="G126"/>
  <c r="R127"/>
  <c r="S141"/>
  <c r="U127"/>
  <c r="S158"/>
  <c r="S153"/>
  <c r="M137"/>
  <c r="Q135"/>
  <c r="U161"/>
  <c r="U154"/>
  <c r="Q151"/>
  <c r="T162"/>
  <c r="T166"/>
  <c r="U168"/>
  <c r="U162"/>
  <c r="U160"/>
  <c r="U163"/>
  <c r="R160"/>
  <c r="U156"/>
  <c r="S151"/>
  <c r="P167"/>
  <c r="M167"/>
  <c r="P159"/>
  <c r="R143"/>
  <c r="Q166"/>
  <c r="T163"/>
  <c r="S159"/>
  <c r="U146"/>
  <c r="L158"/>
  <c r="N155"/>
  <c r="P148"/>
  <c r="M169"/>
  <c r="Q167"/>
  <c r="F151"/>
  <c r="J149"/>
  <c r="S165"/>
  <c r="M161"/>
  <c r="E137"/>
  <c r="Q124"/>
  <c r="N146"/>
  <c r="R144"/>
  <c r="N131"/>
  <c r="R129"/>
  <c r="O155"/>
  <c r="K157"/>
  <c r="L170"/>
  <c r="P168"/>
  <c r="N163"/>
  <c r="R161"/>
  <c r="S168"/>
  <c r="S155"/>
  <c r="T151"/>
  <c r="U147"/>
  <c r="L164"/>
  <c r="L145"/>
  <c r="S144"/>
  <c r="U153"/>
  <c r="R152"/>
  <c r="R145"/>
  <c r="U137"/>
  <c r="N138"/>
  <c r="T126"/>
  <c r="U123"/>
  <c r="N147"/>
  <c r="K124"/>
  <c r="R147"/>
  <c r="Q142"/>
  <c r="O122"/>
  <c r="M168"/>
  <c r="S166"/>
  <c r="U164"/>
  <c r="O160"/>
  <c r="S148"/>
  <c r="S132"/>
  <c r="J142"/>
  <c r="I141"/>
  <c r="I127"/>
  <c r="O147"/>
  <c r="I147"/>
  <c r="Q143"/>
  <c r="O138"/>
  <c r="L136"/>
  <c r="P134"/>
  <c r="K165"/>
  <c r="O163"/>
  <c r="O146"/>
  <c r="P164"/>
  <c r="O161"/>
  <c r="O139"/>
  <c r="R137"/>
  <c r="P132"/>
  <c r="K123"/>
  <c r="F124"/>
  <c r="J122"/>
  <c r="L126"/>
  <c r="P124"/>
  <c r="O130"/>
  <c r="U136"/>
  <c r="S150"/>
  <c r="T135"/>
  <c r="K132"/>
  <c r="L125"/>
  <c r="P151"/>
  <c r="Q140"/>
  <c r="T127"/>
  <c r="H123"/>
  <c r="T168"/>
  <c r="R166"/>
  <c r="Q165"/>
  <c r="U155"/>
  <c r="S145"/>
  <c r="S143"/>
  <c r="U138"/>
  <c r="T133"/>
  <c r="N170"/>
  <c r="P166"/>
  <c r="P127"/>
  <c r="K125"/>
  <c r="U140"/>
  <c r="O126"/>
  <c r="L139"/>
  <c r="O154"/>
  <c r="P123"/>
  <c r="T160"/>
  <c r="U144"/>
  <c r="S167"/>
  <c r="P136"/>
  <c r="S137"/>
  <c r="G134"/>
  <c r="R128"/>
  <c r="K122"/>
  <c r="T131"/>
  <c r="R153"/>
  <c r="O136"/>
  <c r="S126"/>
  <c r="T167"/>
  <c r="O162"/>
  <c r="S157"/>
  <c r="S134"/>
  <c r="K166"/>
  <c r="G162"/>
  <c r="K160"/>
  <c r="Q155"/>
  <c r="T152"/>
  <c r="P150"/>
  <c r="P147"/>
  <c r="U142"/>
  <c r="M143"/>
  <c r="M121"/>
  <c r="U166"/>
  <c r="O167"/>
  <c r="K169"/>
  <c r="R162"/>
  <c r="U159"/>
  <c r="L161"/>
  <c r="N159"/>
  <c r="R157"/>
  <c r="O156"/>
  <c r="S154"/>
  <c r="P152"/>
  <c r="O150"/>
  <c r="S147"/>
  <c r="Q147"/>
  <c r="O145"/>
  <c r="T144"/>
  <c r="P142"/>
  <c r="N144"/>
  <c r="R140"/>
  <c r="M142"/>
  <c r="T137"/>
  <c r="Q136"/>
  <c r="O135"/>
  <c r="M135"/>
  <c r="R130"/>
  <c r="N129"/>
  <c r="R125"/>
  <c r="P135"/>
  <c r="L130"/>
  <c r="G157"/>
  <c r="R133"/>
  <c r="P128"/>
  <c r="I121"/>
  <c r="R165"/>
  <c r="O157"/>
  <c r="N152"/>
  <c r="O143"/>
  <c r="S130"/>
  <c r="Q125"/>
  <c r="N168"/>
  <c r="J170"/>
  <c r="R164"/>
  <c r="Q164"/>
  <c r="N162"/>
  <c r="T161"/>
  <c r="Q160"/>
  <c r="O159"/>
  <c r="Q157"/>
  <c r="R154"/>
  <c r="U151"/>
  <c r="R149"/>
  <c r="S146"/>
  <c r="P144"/>
  <c r="O142"/>
  <c r="S139"/>
  <c r="Q139"/>
  <c r="O137"/>
  <c r="T136"/>
  <c r="R134"/>
  <c r="R132"/>
  <c r="N130"/>
  <c r="T129"/>
  <c r="M130"/>
  <c r="Q128"/>
  <c r="O127"/>
  <c r="R126"/>
  <c r="R124"/>
  <c r="S123"/>
  <c r="C124"/>
  <c r="G122"/>
  <c r="N122"/>
  <c r="Q123"/>
  <c r="T145"/>
  <c r="U167"/>
  <c r="O164"/>
  <c r="S162"/>
  <c r="K155"/>
  <c r="R150"/>
  <c r="Q141"/>
  <c r="R138"/>
  <c r="T120"/>
  <c r="L120"/>
  <c r="H120"/>
  <c r="D124"/>
  <c r="N169"/>
  <c r="R167"/>
  <c r="R148"/>
  <c r="M150"/>
  <c r="Q148"/>
  <c r="F144"/>
  <c r="E143"/>
  <c r="O166"/>
  <c r="S163"/>
  <c r="Q163"/>
  <c r="P158"/>
  <c r="R158"/>
  <c r="R156"/>
  <c r="N154"/>
  <c r="T153"/>
  <c r="U150"/>
  <c r="O151"/>
  <c r="Q149"/>
  <c r="R146"/>
  <c r="U143"/>
  <c r="P143"/>
  <c r="R141"/>
  <c r="S138"/>
  <c r="L138"/>
  <c r="O134"/>
  <c r="S131"/>
  <c r="O129"/>
  <c r="T128"/>
  <c r="P126"/>
  <c r="R122"/>
  <c r="U135"/>
  <c r="O153"/>
  <c r="O158"/>
  <c r="H132"/>
  <c r="U121"/>
  <c r="O168"/>
  <c r="R159"/>
  <c r="L153"/>
  <c r="R151"/>
  <c r="F149"/>
  <c r="J147"/>
  <c r="L137"/>
  <c r="R135"/>
  <c r="N135"/>
  <c r="P165"/>
  <c r="Q162"/>
  <c r="P157"/>
  <c r="K156"/>
  <c r="Q154"/>
  <c r="P149"/>
  <c r="Q146"/>
  <c r="P141"/>
  <c r="Q138"/>
  <c r="P133"/>
  <c r="Q130"/>
  <c r="D131"/>
  <c r="H129"/>
  <c r="O124"/>
  <c r="R123"/>
  <c r="N123"/>
  <c r="J123"/>
  <c r="F125"/>
  <c r="Q122"/>
  <c r="I122"/>
  <c r="E124"/>
  <c r="R163"/>
  <c r="K162"/>
  <c r="R155"/>
  <c r="O152"/>
  <c r="N149"/>
  <c r="O144"/>
  <c r="R139"/>
  <c r="C142"/>
  <c r="G140"/>
  <c r="O128"/>
  <c r="G166"/>
  <c r="K164"/>
  <c r="P161"/>
  <c r="Q158"/>
  <c r="M158"/>
  <c r="P153"/>
  <c r="Q150"/>
  <c r="P145"/>
  <c r="I146"/>
  <c r="E148"/>
  <c r="D143"/>
  <c r="H141"/>
  <c r="Q134"/>
  <c r="M134"/>
  <c r="P129"/>
  <c r="K128"/>
  <c r="M128"/>
  <c r="G124"/>
  <c r="C126"/>
  <c r="L169" l="1"/>
  <c r="H160"/>
  <c r="K148"/>
  <c r="M123"/>
  <c r="D140"/>
  <c r="M153"/>
  <c r="K163"/>
  <c r="E141"/>
  <c r="H128"/>
  <c r="M145"/>
  <c r="M139"/>
  <c r="E149"/>
  <c r="I132"/>
  <c r="H125"/>
  <c r="L149"/>
  <c r="E129"/>
  <c r="M129"/>
  <c r="P156"/>
  <c r="K152"/>
  <c r="N151"/>
  <c r="C169"/>
  <c r="L162"/>
  <c r="G159"/>
  <c r="I135"/>
  <c r="K144"/>
  <c r="O148"/>
  <c r="J161"/>
  <c r="G127"/>
  <c r="Q159"/>
  <c r="M131"/>
  <c r="F159"/>
  <c r="J157"/>
  <c r="P140"/>
  <c r="L150"/>
  <c r="O131"/>
  <c r="F142"/>
  <c r="M126"/>
  <c r="J133"/>
  <c r="H147"/>
  <c r="D168"/>
  <c r="P160"/>
  <c r="L134"/>
  <c r="K141"/>
  <c r="L166"/>
  <c r="K149"/>
  <c r="L168"/>
  <c r="N139"/>
  <c r="C127"/>
  <c r="G125"/>
  <c r="C164"/>
  <c r="K140"/>
  <c r="L129"/>
  <c r="K158"/>
  <c r="D162"/>
  <c r="P130"/>
  <c r="O133"/>
  <c r="O140"/>
  <c r="K153"/>
  <c r="F158"/>
  <c r="J156"/>
  <c r="N160"/>
  <c r="K129"/>
  <c r="P163"/>
  <c r="L122"/>
  <c r="N127"/>
  <c r="I139"/>
  <c r="N142"/>
  <c r="K147"/>
  <c r="I145"/>
  <c r="E147"/>
  <c r="N143"/>
  <c r="N124"/>
  <c r="N148"/>
  <c r="I155"/>
  <c r="E157"/>
  <c r="C167"/>
  <c r="G165"/>
  <c r="O165"/>
  <c r="J124"/>
  <c r="F126"/>
  <c r="N128"/>
  <c r="P138"/>
  <c r="M141"/>
  <c r="L146"/>
  <c r="N156"/>
  <c r="K161"/>
  <c r="E165"/>
  <c r="I163"/>
  <c r="F166"/>
  <c r="J164"/>
  <c r="O132"/>
  <c r="J154"/>
  <c r="F156"/>
  <c r="K137"/>
  <c r="L144"/>
  <c r="O149"/>
  <c r="N164"/>
  <c r="M170"/>
  <c r="Q168"/>
  <c r="P154"/>
  <c r="L124"/>
  <c r="L128"/>
  <c r="K131"/>
  <c r="K136"/>
  <c r="Q145"/>
  <c r="M151"/>
  <c r="Q152"/>
  <c r="P155"/>
  <c r="N158"/>
  <c r="L160"/>
  <c r="G170"/>
  <c r="K168"/>
  <c r="I125"/>
  <c r="E127"/>
  <c r="N150"/>
  <c r="O125"/>
  <c r="P131"/>
  <c r="N134"/>
  <c r="H138"/>
  <c r="N166"/>
  <c r="F133"/>
  <c r="J131"/>
  <c r="M138"/>
  <c r="E146"/>
  <c r="I144"/>
  <c r="J146"/>
  <c r="F148"/>
  <c r="P146"/>
  <c r="L154"/>
  <c r="Q161"/>
  <c r="Q144"/>
  <c r="C170"/>
  <c r="G168"/>
  <c r="D142"/>
  <c r="H140"/>
  <c r="M165"/>
  <c r="D166"/>
  <c r="H164"/>
  <c r="N126"/>
  <c r="F134"/>
  <c r="J132"/>
  <c r="N136"/>
  <c r="K139"/>
  <c r="O141"/>
  <c r="Q153"/>
  <c r="M159"/>
  <c r="M162"/>
  <c r="M166"/>
  <c r="M127"/>
  <c r="K145"/>
  <c r="F150"/>
  <c r="J148"/>
  <c r="K159"/>
  <c r="J169"/>
  <c r="N167"/>
  <c r="N132"/>
  <c r="E139"/>
  <c r="I137"/>
  <c r="P139"/>
  <c r="M149"/>
  <c r="I123"/>
  <c r="E125"/>
  <c r="L152"/>
  <c r="M157"/>
  <c r="M136"/>
  <c r="L155"/>
  <c r="K130"/>
  <c r="E132"/>
  <c r="I130"/>
  <c r="L131"/>
  <c r="M152"/>
  <c r="M160"/>
  <c r="F153"/>
  <c r="J151"/>
  <c r="M124"/>
  <c r="F127"/>
  <c r="J125"/>
  <c r="K126"/>
  <c r="C152"/>
  <c r="G150"/>
  <c r="C160"/>
  <c r="G158"/>
  <c r="M164"/>
  <c r="F139"/>
  <c r="J137"/>
  <c r="D165"/>
  <c r="H163"/>
  <c r="K154"/>
  <c r="C144"/>
  <c r="G142"/>
  <c r="D133"/>
  <c r="H131"/>
  <c r="F147"/>
  <c r="J145"/>
  <c r="F155"/>
  <c r="J153"/>
  <c r="D157"/>
  <c r="H155"/>
  <c r="L147"/>
  <c r="L135"/>
  <c r="D141"/>
  <c r="H139"/>
  <c r="E138"/>
  <c r="I136"/>
  <c r="N141"/>
  <c r="K146"/>
  <c r="N157"/>
  <c r="C166"/>
  <c r="G164"/>
  <c r="M132"/>
  <c r="M140"/>
  <c r="M148"/>
  <c r="L151"/>
  <c r="M156"/>
  <c r="N153"/>
  <c r="N161"/>
  <c r="L163"/>
  <c r="F167"/>
  <c r="J165"/>
  <c r="E134"/>
  <c r="E154"/>
  <c r="I152"/>
  <c r="E130"/>
  <c r="I128"/>
  <c r="C132"/>
  <c r="G130"/>
  <c r="G146"/>
  <c r="C148"/>
  <c r="G154"/>
  <c r="C156"/>
  <c r="E162"/>
  <c r="I160"/>
  <c r="D153"/>
  <c r="H151"/>
  <c r="N165"/>
  <c r="N125"/>
  <c r="L143"/>
  <c r="L159"/>
  <c r="H169"/>
  <c r="L167"/>
  <c r="N137"/>
  <c r="K150"/>
  <c r="D130" l="1"/>
  <c r="D149"/>
  <c r="C129"/>
  <c r="G167"/>
  <c r="G160"/>
  <c r="C161"/>
  <c r="F163"/>
  <c r="H166"/>
  <c r="J140"/>
  <c r="E133"/>
  <c r="I131"/>
  <c r="F135"/>
  <c r="I133"/>
  <c r="E135"/>
  <c r="H152"/>
  <c r="D154"/>
  <c r="L142"/>
  <c r="K133"/>
  <c r="D138"/>
  <c r="H136"/>
  <c r="F143"/>
  <c r="J141"/>
  <c r="D170"/>
  <c r="H168"/>
  <c r="H170"/>
  <c r="G151"/>
  <c r="C153"/>
  <c r="C145"/>
  <c r="G143"/>
  <c r="F136"/>
  <c r="J134"/>
  <c r="J128"/>
  <c r="F130"/>
  <c r="E169"/>
  <c r="I167"/>
  <c r="M163"/>
  <c r="F154"/>
  <c r="J152"/>
  <c r="M147"/>
  <c r="F160"/>
  <c r="J158"/>
  <c r="E145"/>
  <c r="I143"/>
  <c r="K167"/>
  <c r="G169"/>
  <c r="F128"/>
  <c r="J126"/>
  <c r="G149"/>
  <c r="C151"/>
  <c r="F131"/>
  <c r="J129"/>
  <c r="L165"/>
  <c r="K142"/>
  <c r="H154"/>
  <c r="D156"/>
  <c r="I129"/>
  <c r="E131"/>
  <c r="E166"/>
  <c r="I164"/>
  <c r="G141"/>
  <c r="C143"/>
  <c r="M146"/>
  <c r="H156"/>
  <c r="D158"/>
  <c r="E142"/>
  <c r="I140"/>
  <c r="J168"/>
  <c r="F170"/>
  <c r="F138"/>
  <c r="J136"/>
  <c r="K127"/>
  <c r="L157"/>
  <c r="I153"/>
  <c r="E155"/>
  <c r="C140"/>
  <c r="G138"/>
  <c r="H146"/>
  <c r="D148"/>
  <c r="K134"/>
  <c r="C165"/>
  <c r="G163"/>
  <c r="H148"/>
  <c r="D150"/>
  <c r="F152"/>
  <c r="J150"/>
  <c r="K135"/>
  <c r="E153"/>
  <c r="I151"/>
  <c r="M155"/>
  <c r="H162"/>
  <c r="D164"/>
  <c r="H130"/>
  <c r="D132"/>
  <c r="L156"/>
  <c r="F168"/>
  <c r="J166"/>
  <c r="L140"/>
  <c r="F146"/>
  <c r="J144"/>
  <c r="D126"/>
  <c r="H124"/>
  <c r="G131"/>
  <c r="C133"/>
  <c r="G155"/>
  <c r="C157"/>
  <c r="E161"/>
  <c r="I159"/>
  <c r="L141"/>
  <c r="C163"/>
  <c r="G161"/>
  <c r="G147"/>
  <c r="C149"/>
  <c r="E170"/>
  <c r="I168"/>
  <c r="I161"/>
  <c r="E163"/>
  <c r="K143"/>
  <c r="J138"/>
  <c r="F140"/>
  <c r="L148"/>
  <c r="L133"/>
  <c r="J160"/>
  <c r="F162"/>
  <c r="M154"/>
  <c r="C135"/>
  <c r="G133"/>
  <c r="H126"/>
  <c r="D128"/>
  <c r="K151"/>
  <c r="G139"/>
  <c r="C141"/>
  <c r="F132"/>
  <c r="J130"/>
  <c r="J162"/>
  <c r="F164"/>
  <c r="L132"/>
  <c r="D155"/>
  <c r="H153"/>
  <c r="C150"/>
  <c r="G148"/>
  <c r="H149"/>
  <c r="D151"/>
  <c r="J139"/>
  <c r="F141"/>
  <c r="I158"/>
  <c r="E160"/>
  <c r="H145"/>
  <c r="D147"/>
  <c r="C134"/>
  <c r="G132"/>
  <c r="G152"/>
  <c r="C154"/>
  <c r="F169"/>
  <c r="J167"/>
  <c r="D167"/>
  <c r="H165"/>
  <c r="E144"/>
  <c r="I142"/>
  <c r="E168"/>
  <c r="I166"/>
  <c r="I162"/>
  <c r="E164"/>
  <c r="H133"/>
  <c r="D135"/>
  <c r="E140"/>
  <c r="I138"/>
  <c r="D163"/>
  <c r="H161"/>
  <c r="F129"/>
  <c r="J127"/>
  <c r="J163"/>
  <c r="F165"/>
  <c r="J155"/>
  <c r="F157"/>
  <c r="E152"/>
  <c r="I150"/>
  <c r="E136"/>
  <c r="I134"/>
  <c r="J159"/>
  <c r="F161"/>
  <c r="F145"/>
  <c r="J143"/>
  <c r="H137"/>
  <c r="D139"/>
  <c r="C158"/>
  <c r="G156"/>
  <c r="C130"/>
  <c r="G128"/>
  <c r="E128"/>
  <c r="I126"/>
  <c r="I154"/>
  <c r="E156"/>
  <c r="D159"/>
  <c r="H157"/>
  <c r="C162" l="1"/>
  <c r="D146"/>
  <c r="H144"/>
  <c r="G135"/>
  <c r="C137"/>
  <c r="D136"/>
  <c r="H134"/>
  <c r="C155"/>
  <c r="G153"/>
  <c r="D152"/>
  <c r="H150"/>
  <c r="C147"/>
  <c r="G145"/>
  <c r="E159"/>
  <c r="I157"/>
  <c r="I148"/>
  <c r="E150"/>
  <c r="H167"/>
  <c r="D169"/>
  <c r="C139"/>
  <c r="G137"/>
  <c r="C138"/>
  <c r="G136"/>
  <c r="H159"/>
  <c r="D161"/>
  <c r="E158"/>
  <c r="I156"/>
  <c r="D137"/>
  <c r="H135"/>
  <c r="D145"/>
  <c r="H143"/>
  <c r="D144"/>
  <c r="H142"/>
  <c r="D160"/>
  <c r="H158"/>
  <c r="G144"/>
  <c r="C146"/>
  <c r="I149"/>
  <c r="E151"/>
  <c r="E167"/>
  <c r="I165"/>
  <c r="C131"/>
  <c r="G129"/>
  <c r="C171" l="1"/>
  <c r="D12" i="3" l="1"/>
</calcChain>
</file>

<file path=xl/sharedStrings.xml><?xml version="1.0" encoding="utf-8"?>
<sst xmlns="http://schemas.openxmlformats.org/spreadsheetml/2006/main" count="24" uniqueCount="22">
  <si>
    <t>T (C)</t>
  </si>
  <si>
    <t>Relative Humidity (%)</t>
  </si>
  <si>
    <t>residuals</t>
  </si>
  <si>
    <t>sum</t>
  </si>
  <si>
    <t>S0</t>
  </si>
  <si>
    <t>tc</t>
  </si>
  <si>
    <t>tc^2</t>
  </si>
  <si>
    <t>Rh</t>
  </si>
  <si>
    <t>Rh^2</t>
  </si>
  <si>
    <t>sum of all</t>
  </si>
  <si>
    <t>calculated values based on above coefficients from solver</t>
  </si>
  <si>
    <t>coeff.</t>
  </si>
  <si>
    <t>Conversion if necessary</t>
  </si>
  <si>
    <t>Temperature if Farenheit</t>
  </si>
  <si>
    <r>
      <t xml:space="preserve">T in </t>
    </r>
    <r>
      <rPr>
        <sz val="11"/>
        <color theme="1"/>
        <rFont val="Calibri"/>
        <family val="2"/>
      </rPr>
      <t>⁰C</t>
    </r>
  </si>
  <si>
    <t>Rh %</t>
  </si>
  <si>
    <t>Sound_velocity</t>
  </si>
  <si>
    <t>m/s</t>
  </si>
  <si>
    <r>
      <t>cm/</t>
    </r>
    <r>
      <rPr>
        <sz val="11"/>
        <color theme="1"/>
        <rFont val="Calibri"/>
        <family val="2"/>
      </rPr>
      <t>μs</t>
    </r>
  </si>
  <si>
    <t>⁰C</t>
  </si>
  <si>
    <r>
      <rPr>
        <sz val="11"/>
        <color theme="1"/>
        <rFont val="Calibri"/>
        <family val="2"/>
      </rPr>
      <t xml:space="preserve">⁰F </t>
    </r>
    <r>
      <rPr>
        <sz val="11"/>
        <color theme="1"/>
        <rFont val="Calibri"/>
        <family val="2"/>
        <scheme val="minor"/>
      </rPr>
      <t xml:space="preserve">is </t>
    </r>
  </si>
  <si>
    <r>
      <t>using simplest eqn 331.5 + 0.6(T</t>
    </r>
    <r>
      <rPr>
        <sz val="11"/>
        <color theme="1"/>
        <rFont val="Calibri"/>
        <family val="2"/>
      </rPr>
      <t>⁰C)</t>
    </r>
  </si>
</sst>
</file>

<file path=xl/styles.xml><?xml version="1.0" encoding="utf-8"?>
<styleSheet xmlns="http://schemas.openxmlformats.org/spreadsheetml/2006/main">
  <numFmts count="1">
    <numFmt numFmtId="166" formatCode="0.000000"/>
  </numFmts>
  <fonts count="2">
    <font>
      <sz val="11"/>
      <color theme="1"/>
      <name val="Calibri"/>
      <family val="2"/>
      <scheme val="minor"/>
    </font>
    <font>
      <sz val="11"/>
      <color theme="1"/>
      <name val="Calibr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5">
    <xf numFmtId="0" fontId="0" fillId="0" borderId="0" xfId="0"/>
    <xf numFmtId="0" fontId="0" fillId="2" borderId="0" xfId="0" applyFill="1"/>
    <xf numFmtId="0" fontId="1" fillId="0" borderId="0" xfId="0" applyFont="1"/>
    <xf numFmtId="2" fontId="0" fillId="0" borderId="0" xfId="0" applyNumberFormat="1"/>
    <xf numFmtId="166" fontId="0" fillId="0" borderId="0" xfId="0" applyNumberFormat="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552449</xdr:colOff>
      <xdr:row>0</xdr:row>
      <xdr:rowOff>180976</xdr:rowOff>
    </xdr:from>
    <xdr:to>
      <xdr:col>22</xdr:col>
      <xdr:colOff>342900</xdr:colOff>
      <xdr:row>9</xdr:row>
      <xdr:rowOff>123826</xdr:rowOff>
    </xdr:to>
    <xdr:sp macro="" textlink="">
      <xdr:nvSpPr>
        <xdr:cNvPr id="2" name="TextBox 1"/>
        <xdr:cNvSpPr txBox="1"/>
      </xdr:nvSpPr>
      <xdr:spPr>
        <a:xfrm>
          <a:off x="1162049" y="180976"/>
          <a:ext cx="12592051" cy="1657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 data here is</a:t>
          </a:r>
          <a:r>
            <a:rPr lang="en-US" sz="1100" baseline="0"/>
            <a:t> generated by the Calculate macro.</a:t>
          </a:r>
        </a:p>
        <a:p>
          <a:r>
            <a:rPr lang="en-US" sz="1100" baseline="0"/>
            <a:t> The calculator presented here computes the zero-frequency speed of sound in humid air according to Cramer (J. Acoust. Soc. Am., 93, p2510, 1993), 'with saturation vapour pressure taken from Davis, Metrologia, 29, p67, 1992,'and a mole fraction of carbon dioxide of 0.0004.</a:t>
          </a:r>
        </a:p>
        <a:p>
          <a:r>
            <a:rPr lang="en-US" sz="1100" baseline="0"/>
            <a:t>The original calculation is a javascript routine from the web site: In this version The Air Pressure is held constant at 101.325, which is  at STP</a:t>
          </a:r>
        </a:p>
        <a:p>
          <a:r>
            <a:rPr lang="en-US" sz="1100"/>
            <a:t>This is a nearly direct translation to vba from the javascript copied from  http://resource.npl.co.uk/acoustics/techguides/speedair/  scaping</a:t>
          </a:r>
          <a:r>
            <a:rPr lang="en-US" sz="1100" baseline="0"/>
            <a:t> the </a:t>
          </a:r>
          <a:r>
            <a:rPr lang="en-US" sz="1100"/>
            <a:t>page source code. The original</a:t>
          </a:r>
          <a:r>
            <a:rPr lang="en-US" sz="1100" baseline="0"/>
            <a:t> equation by Cramer has 16 terms and constants. The work here was an attempt to reduce the calculation overhead, especially if the values needed to be changed on the fly, by reduction the numbe of variables quite a bit and still have values appropriate for the kind of typical work for ultrasonic sensors. The data on this sheet was generated from the original 16 term equation, but with the air pressure held constant at 101.325. </a:t>
          </a:r>
          <a:endParaRPr lang="en-US" sz="1100"/>
        </a:p>
        <a:p>
          <a:r>
            <a:rPr lang="en-US" sz="1100"/>
            <a:t>Sheet 2 is a copy</a:t>
          </a:r>
          <a:r>
            <a:rPr lang="en-US" sz="1100" baseline="0"/>
            <a:t> of this data, and a multvariate regression using Solver to find a relatively simple equation to fit the data.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123825</xdr:colOff>
      <xdr:row>0</xdr:row>
      <xdr:rowOff>85724</xdr:rowOff>
    </xdr:from>
    <xdr:to>
      <xdr:col>20</xdr:col>
      <xdr:colOff>361950</xdr:colOff>
      <xdr:row>8</xdr:row>
      <xdr:rowOff>171449</xdr:rowOff>
    </xdr:to>
    <xdr:sp macro="" textlink="">
      <xdr:nvSpPr>
        <xdr:cNvPr id="2" name="TextBox 1"/>
        <xdr:cNvSpPr txBox="1"/>
      </xdr:nvSpPr>
      <xdr:spPr>
        <a:xfrm>
          <a:off x="733425" y="85724"/>
          <a:ext cx="11820525" cy="1609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a:t>
          </a:r>
          <a:r>
            <a:rPr lang="en-US" sz="1100" baseline="0"/>
            <a:t> page used Solver to</a:t>
          </a:r>
          <a:r>
            <a:rPr lang="en-US" sz="1100"/>
            <a:t> develops a simplifid equation to represent the data</a:t>
          </a:r>
          <a:r>
            <a:rPr lang="en-US" sz="1100" baseline="0"/>
            <a:t> calculated from the Calculate maco based on O. Cramer speed of sound in air data. The first set of data below is the calculated data using the full Cramer equation (see Sheet1). The second set of data starting at row 67 is the final calculated values using only five terms. The equation is:</a:t>
          </a:r>
        </a:p>
        <a:p>
          <a:endParaRPr lang="en-US" sz="1100" b="0" i="0" u="none" strike="noStrike" baseline="0">
            <a:solidFill>
              <a:schemeClr val="dk1"/>
            </a:solidFill>
            <a:latin typeface="+mn-lt"/>
            <a:ea typeface="+mn-ea"/>
            <a:cs typeface="+mn-cs"/>
          </a:endParaRPr>
        </a:p>
        <a:p>
          <a:r>
            <a:rPr lang="en-US" sz="1100" b="0" i="0" u="none" strike="noStrike" baseline="0">
              <a:solidFill>
                <a:schemeClr val="dk1"/>
              </a:solidFill>
              <a:latin typeface="+mn-lt"/>
              <a:ea typeface="+mn-ea"/>
              <a:cs typeface="+mn-cs"/>
            </a:rPr>
            <a:t>speed (m/s) = </a:t>
          </a:r>
          <a:r>
            <a:rPr lang="en-US" sz="1100" b="0" i="0" u="none" strike="noStrike">
              <a:solidFill>
                <a:schemeClr val="dk1"/>
              </a:solidFill>
              <a:latin typeface="+mn-lt"/>
              <a:ea typeface="+mn-ea"/>
              <a:cs typeface="+mn-cs"/>
            </a:rPr>
            <a:t>330.8966</a:t>
          </a:r>
          <a:r>
            <a:rPr lang="en-US"/>
            <a:t> + </a:t>
          </a:r>
          <a:r>
            <a:rPr lang="en-US" sz="1100" b="0" i="0" u="none" strike="noStrike">
              <a:solidFill>
                <a:schemeClr val="dk1"/>
              </a:solidFill>
              <a:latin typeface="+mn-lt"/>
              <a:ea typeface="+mn-ea"/>
              <a:cs typeface="+mn-cs"/>
            </a:rPr>
            <a:t>0.540567T +</a:t>
          </a:r>
          <a:r>
            <a:rPr lang="en-US"/>
            <a:t> </a:t>
          </a:r>
          <a:r>
            <a:rPr lang="en-US" sz="1100" b="0" i="0" u="none" strike="noStrike">
              <a:solidFill>
                <a:schemeClr val="dk1"/>
              </a:solidFill>
              <a:latin typeface="+mn-lt"/>
              <a:ea typeface="+mn-ea"/>
              <a:cs typeface="+mn-cs"/>
            </a:rPr>
            <a:t>0.001776T^2 +</a:t>
          </a:r>
          <a:r>
            <a:rPr lang="en-US"/>
            <a:t> </a:t>
          </a:r>
          <a:r>
            <a:rPr lang="en-US" sz="1100" b="0" i="0" u="none" strike="noStrike">
              <a:solidFill>
                <a:schemeClr val="dk1"/>
              </a:solidFill>
              <a:latin typeface="+mn-lt"/>
              <a:ea typeface="+mn-ea"/>
              <a:cs typeface="+mn-cs"/>
            </a:rPr>
            <a:t>0.009432Rh</a:t>
          </a:r>
          <a:r>
            <a:rPr lang="en-US"/>
            <a:t> </a:t>
          </a:r>
          <a:r>
            <a:rPr lang="en-US" sz="1100" b="0" i="0" u="none" strike="noStrike">
              <a:solidFill>
                <a:schemeClr val="dk1"/>
              </a:solidFill>
              <a:latin typeface="+mn-lt"/>
              <a:ea typeface="+mn-ea"/>
              <a:cs typeface="+mn-cs"/>
            </a:rPr>
            <a:t>- 2.98489E-05Rh^2</a:t>
          </a:r>
          <a:r>
            <a:rPr lang="en-US"/>
            <a:t> </a:t>
          </a:r>
          <a:endParaRPr lang="en-US" sz="1100" baseline="0"/>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Errors in the range of 0-30 C and 0-30 Rh are almost negligable.   </a:t>
          </a:r>
          <a:endParaRPr lang="en-US"/>
        </a:p>
        <a:p>
          <a:r>
            <a:rPr lang="en-US" sz="1100" baseline="0"/>
            <a:t>The third set of values are the coefficients found by solver. There were no constraints. Solver was set to minimize the sum of the absolute errors for each measurement. The sum value is  cell C171. Attempts to downgrade to  use just the linear terms produced a slightly higher error, but if speed of calculation is critical, would still be acceptable in the region of 0-40 T and 0-40 RH</a:t>
          </a:r>
        </a:p>
        <a:p>
          <a:r>
            <a:rPr lang="en-US" sz="1100" baseline="0"/>
            <a:t>speed(m/s) </a:t>
          </a:r>
          <a:r>
            <a:rPr lang="en-US" sz="1100" b="0" i="0" u="none" strike="noStrike">
              <a:solidFill>
                <a:schemeClr val="dk1"/>
              </a:solidFill>
              <a:latin typeface="+mn-lt"/>
              <a:ea typeface="+mn-ea"/>
              <a:cs typeface="+mn-cs"/>
            </a:rPr>
            <a:t>330.3633</a:t>
          </a:r>
          <a:r>
            <a:rPr lang="en-US"/>
            <a:t>  + </a:t>
          </a:r>
          <a:r>
            <a:rPr lang="en-US" sz="1100" b="0" i="0" u="none" strike="noStrike">
              <a:solidFill>
                <a:schemeClr val="dk1"/>
              </a:solidFill>
              <a:latin typeface="+mn-lt"/>
              <a:ea typeface="+mn-ea"/>
              <a:cs typeface="+mn-cs"/>
            </a:rPr>
            <a:t>0.614639T +</a:t>
          </a:r>
          <a:r>
            <a:rPr lang="en-US"/>
            <a:t> </a:t>
          </a:r>
          <a:r>
            <a:rPr lang="en-US" sz="1100" b="0" i="0" u="none" strike="noStrike">
              <a:solidFill>
                <a:schemeClr val="dk1"/>
              </a:solidFill>
              <a:latin typeface="+mn-lt"/>
              <a:ea typeface="+mn-ea"/>
              <a:cs typeface="+mn-cs"/>
            </a:rPr>
            <a:t>0.006749RH</a:t>
          </a:r>
          <a:r>
            <a:rPr lang="en-US"/>
            <a:t> </a:t>
          </a:r>
          <a:endParaRPr lang="en-US" sz="1100" baseline="0"/>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933450</xdr:colOff>
      <xdr:row>0</xdr:row>
      <xdr:rowOff>142875</xdr:rowOff>
    </xdr:from>
    <xdr:to>
      <xdr:col>10</xdr:col>
      <xdr:colOff>228600</xdr:colOff>
      <xdr:row>4</xdr:row>
      <xdr:rowOff>161925</xdr:rowOff>
    </xdr:to>
    <xdr:sp macro="" textlink="">
      <xdr:nvSpPr>
        <xdr:cNvPr id="2" name="TextBox 1"/>
        <xdr:cNvSpPr txBox="1"/>
      </xdr:nvSpPr>
      <xdr:spPr>
        <a:xfrm>
          <a:off x="933450" y="142875"/>
          <a:ext cx="6029325"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As soon as a value is changed in</a:t>
          </a:r>
          <a:r>
            <a:rPr lang="en-US" sz="1100" baseline="0"/>
            <a:t> B10 or B11, the velocity will update, It is using a UDF calc_vel().</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eet1"/>
  <dimension ref="A12:U64"/>
  <sheetViews>
    <sheetView tabSelected="1" workbookViewId="0">
      <selection activeCell="F14" sqref="F14"/>
    </sheetView>
  </sheetViews>
  <sheetFormatPr defaultRowHeight="15"/>
  <sheetData>
    <row r="12" spans="1:21">
      <c r="A12" t="s">
        <v>0</v>
      </c>
      <c r="I12" t="s">
        <v>1</v>
      </c>
    </row>
    <row r="13" spans="1:21">
      <c r="C13">
        <v>0</v>
      </c>
      <c r="D13">
        <v>5</v>
      </c>
      <c r="E13">
        <v>10</v>
      </c>
      <c r="F13">
        <v>15</v>
      </c>
      <c r="G13">
        <v>20</v>
      </c>
      <c r="H13">
        <v>25</v>
      </c>
      <c r="I13">
        <v>30</v>
      </c>
      <c r="J13">
        <v>35</v>
      </c>
      <c r="K13">
        <v>40</v>
      </c>
      <c r="L13">
        <v>45</v>
      </c>
      <c r="M13">
        <v>50</v>
      </c>
      <c r="N13">
        <v>55</v>
      </c>
      <c r="O13">
        <v>60</v>
      </c>
      <c r="P13">
        <v>65</v>
      </c>
      <c r="Q13">
        <v>70</v>
      </c>
      <c r="R13">
        <v>75</v>
      </c>
      <c r="S13">
        <v>80</v>
      </c>
      <c r="T13">
        <v>85</v>
      </c>
      <c r="U13">
        <v>90</v>
      </c>
    </row>
    <row r="14" spans="1:21">
      <c r="A14">
        <v>0</v>
      </c>
      <c r="C14">
        <v>331.5</v>
      </c>
      <c r="D14">
        <v>331.5</v>
      </c>
      <c r="E14">
        <v>331.5</v>
      </c>
      <c r="F14">
        <v>331.5</v>
      </c>
      <c r="G14">
        <v>331.5</v>
      </c>
      <c r="H14">
        <v>331.5</v>
      </c>
      <c r="I14">
        <v>331.5</v>
      </c>
      <c r="J14">
        <v>331.5</v>
      </c>
      <c r="K14">
        <v>331.5</v>
      </c>
      <c r="L14">
        <v>331.5</v>
      </c>
      <c r="M14">
        <v>331.5</v>
      </c>
      <c r="N14">
        <v>331.5</v>
      </c>
      <c r="O14">
        <v>331.5</v>
      </c>
      <c r="P14">
        <v>331.5</v>
      </c>
      <c r="Q14">
        <v>331.5</v>
      </c>
      <c r="R14">
        <v>331.5</v>
      </c>
      <c r="S14">
        <v>331.5</v>
      </c>
      <c r="T14">
        <v>331.5</v>
      </c>
      <c r="U14">
        <v>331.5</v>
      </c>
    </row>
    <row r="15" spans="1:21">
      <c r="A15">
        <v>1</v>
      </c>
      <c r="C15">
        <v>332.1</v>
      </c>
      <c r="D15">
        <v>332.1</v>
      </c>
      <c r="E15">
        <v>332.1</v>
      </c>
      <c r="F15">
        <v>332.1</v>
      </c>
      <c r="G15">
        <v>332.1</v>
      </c>
      <c r="H15">
        <v>332.1</v>
      </c>
      <c r="I15">
        <v>332.1</v>
      </c>
      <c r="J15">
        <v>332.1</v>
      </c>
      <c r="K15">
        <v>332.1</v>
      </c>
      <c r="L15">
        <v>332.1</v>
      </c>
      <c r="M15">
        <v>332.1</v>
      </c>
      <c r="N15">
        <v>332.1</v>
      </c>
      <c r="O15">
        <v>332.1</v>
      </c>
      <c r="P15">
        <v>332.1</v>
      </c>
      <c r="Q15">
        <v>332.1</v>
      </c>
      <c r="R15">
        <v>332.1</v>
      </c>
      <c r="S15">
        <v>332.1</v>
      </c>
      <c r="T15">
        <v>332.1</v>
      </c>
      <c r="U15">
        <v>332.1</v>
      </c>
    </row>
    <row r="16" spans="1:21">
      <c r="A16">
        <v>2</v>
      </c>
      <c r="C16">
        <v>332.7</v>
      </c>
      <c r="D16">
        <v>332.7</v>
      </c>
      <c r="E16">
        <v>332.7</v>
      </c>
      <c r="F16">
        <v>332.7</v>
      </c>
      <c r="G16">
        <v>332.7</v>
      </c>
      <c r="H16">
        <v>332.7</v>
      </c>
      <c r="I16">
        <v>332.7</v>
      </c>
      <c r="J16">
        <v>332.7</v>
      </c>
      <c r="K16">
        <v>332.7</v>
      </c>
      <c r="L16">
        <v>332.7</v>
      </c>
      <c r="M16">
        <v>332.7</v>
      </c>
      <c r="N16">
        <v>332.7</v>
      </c>
      <c r="O16">
        <v>332.7</v>
      </c>
      <c r="P16">
        <v>332.7</v>
      </c>
      <c r="Q16">
        <v>332.7</v>
      </c>
      <c r="R16">
        <v>332.7</v>
      </c>
      <c r="S16">
        <v>332.7</v>
      </c>
      <c r="T16">
        <v>332.7</v>
      </c>
      <c r="U16">
        <v>332.7</v>
      </c>
    </row>
    <row r="17" spans="1:21">
      <c r="A17">
        <v>3</v>
      </c>
      <c r="C17">
        <v>333.3</v>
      </c>
      <c r="D17">
        <v>333.3</v>
      </c>
      <c r="E17">
        <v>333.3</v>
      </c>
      <c r="F17">
        <v>333.3</v>
      </c>
      <c r="G17">
        <v>333.3</v>
      </c>
      <c r="H17">
        <v>333.3</v>
      </c>
      <c r="I17">
        <v>333.3</v>
      </c>
      <c r="J17">
        <v>333.3</v>
      </c>
      <c r="K17">
        <v>333.3</v>
      </c>
      <c r="L17">
        <v>333.3</v>
      </c>
      <c r="M17">
        <v>333.3</v>
      </c>
      <c r="N17">
        <v>333.3</v>
      </c>
      <c r="O17">
        <v>333.3</v>
      </c>
      <c r="P17">
        <v>333.3</v>
      </c>
      <c r="Q17">
        <v>333.3</v>
      </c>
      <c r="R17">
        <v>333.3</v>
      </c>
      <c r="S17">
        <v>333.3</v>
      </c>
      <c r="T17">
        <v>333.3</v>
      </c>
      <c r="U17">
        <v>333.3</v>
      </c>
    </row>
    <row r="18" spans="1:21">
      <c r="A18">
        <v>4</v>
      </c>
      <c r="C18">
        <v>333.9</v>
      </c>
      <c r="D18">
        <v>333.9</v>
      </c>
      <c r="E18">
        <v>333.9</v>
      </c>
      <c r="F18">
        <v>333.9</v>
      </c>
      <c r="G18">
        <v>333.9</v>
      </c>
      <c r="H18">
        <v>333.9</v>
      </c>
      <c r="I18">
        <v>333.9</v>
      </c>
      <c r="J18">
        <v>333.9</v>
      </c>
      <c r="K18">
        <v>333.9</v>
      </c>
      <c r="L18">
        <v>333.9</v>
      </c>
      <c r="M18">
        <v>333.9</v>
      </c>
      <c r="N18">
        <v>333.9</v>
      </c>
      <c r="O18">
        <v>333.9</v>
      </c>
      <c r="P18">
        <v>333.9</v>
      </c>
      <c r="Q18">
        <v>333.9</v>
      </c>
      <c r="R18">
        <v>333.9</v>
      </c>
      <c r="S18">
        <v>333.9</v>
      </c>
      <c r="T18">
        <v>333.9</v>
      </c>
      <c r="U18">
        <v>333.9</v>
      </c>
    </row>
    <row r="19" spans="1:21">
      <c r="A19">
        <v>5</v>
      </c>
      <c r="C19">
        <v>334.5</v>
      </c>
      <c r="D19">
        <v>334.5</v>
      </c>
      <c r="E19">
        <v>334.5</v>
      </c>
      <c r="F19">
        <v>334.5</v>
      </c>
      <c r="G19">
        <v>334.5</v>
      </c>
      <c r="H19">
        <v>334.5</v>
      </c>
      <c r="I19">
        <v>334.5</v>
      </c>
      <c r="J19">
        <v>334.5</v>
      </c>
      <c r="K19">
        <v>334.5</v>
      </c>
      <c r="L19">
        <v>334.5</v>
      </c>
      <c r="M19">
        <v>334.5</v>
      </c>
      <c r="N19">
        <v>334.5</v>
      </c>
      <c r="O19">
        <v>334.5</v>
      </c>
      <c r="P19">
        <v>334.5</v>
      </c>
      <c r="Q19">
        <v>334.5</v>
      </c>
      <c r="R19">
        <v>334.5</v>
      </c>
      <c r="S19">
        <v>334.5</v>
      </c>
      <c r="T19">
        <v>334.5</v>
      </c>
      <c r="U19">
        <v>334.5</v>
      </c>
    </row>
    <row r="20" spans="1:21">
      <c r="A20">
        <v>6</v>
      </c>
      <c r="C20">
        <v>335.1</v>
      </c>
      <c r="D20">
        <v>335.1</v>
      </c>
      <c r="E20">
        <v>335.1</v>
      </c>
      <c r="F20">
        <v>335.1</v>
      </c>
      <c r="G20">
        <v>335.1</v>
      </c>
      <c r="H20">
        <v>335.1</v>
      </c>
      <c r="I20">
        <v>335.1</v>
      </c>
      <c r="J20">
        <v>335.1</v>
      </c>
      <c r="K20">
        <v>335.1</v>
      </c>
      <c r="L20">
        <v>335.1</v>
      </c>
      <c r="M20">
        <v>335.1</v>
      </c>
      <c r="N20">
        <v>335.1</v>
      </c>
      <c r="O20">
        <v>335.1</v>
      </c>
      <c r="P20">
        <v>335.1</v>
      </c>
      <c r="Q20">
        <v>335.1</v>
      </c>
      <c r="R20">
        <v>335.1</v>
      </c>
      <c r="S20">
        <v>335.1</v>
      </c>
      <c r="T20">
        <v>335.1</v>
      </c>
      <c r="U20">
        <v>335.1</v>
      </c>
    </row>
    <row r="21" spans="1:21">
      <c r="A21">
        <v>7</v>
      </c>
      <c r="C21">
        <v>335.7</v>
      </c>
      <c r="D21">
        <v>335.7</v>
      </c>
      <c r="E21">
        <v>335.7</v>
      </c>
      <c r="F21">
        <v>335.7</v>
      </c>
      <c r="G21">
        <v>335.7</v>
      </c>
      <c r="H21">
        <v>335.7</v>
      </c>
      <c r="I21">
        <v>335.7</v>
      </c>
      <c r="J21">
        <v>335.7</v>
      </c>
      <c r="K21">
        <v>335.7</v>
      </c>
      <c r="L21">
        <v>335.7</v>
      </c>
      <c r="M21">
        <v>335.7</v>
      </c>
      <c r="N21">
        <v>335.7</v>
      </c>
      <c r="O21">
        <v>335.7</v>
      </c>
      <c r="P21">
        <v>335.7</v>
      </c>
      <c r="Q21">
        <v>335.7</v>
      </c>
      <c r="R21">
        <v>335.7</v>
      </c>
      <c r="S21">
        <v>335.7</v>
      </c>
      <c r="T21">
        <v>335.7</v>
      </c>
      <c r="U21">
        <v>335.7</v>
      </c>
    </row>
    <row r="22" spans="1:21">
      <c r="A22">
        <v>8</v>
      </c>
      <c r="C22">
        <v>336.3</v>
      </c>
      <c r="D22">
        <v>336.3</v>
      </c>
      <c r="E22">
        <v>336.3</v>
      </c>
      <c r="F22">
        <v>336.3</v>
      </c>
      <c r="G22">
        <v>336.3</v>
      </c>
      <c r="H22">
        <v>336.3</v>
      </c>
      <c r="I22">
        <v>336.3</v>
      </c>
      <c r="J22">
        <v>336.3</v>
      </c>
      <c r="K22">
        <v>336.3</v>
      </c>
      <c r="L22">
        <v>336.3</v>
      </c>
      <c r="M22">
        <v>336.3</v>
      </c>
      <c r="N22">
        <v>336.3</v>
      </c>
      <c r="O22">
        <v>336.3</v>
      </c>
      <c r="P22">
        <v>336.3</v>
      </c>
      <c r="Q22">
        <v>336.3</v>
      </c>
      <c r="R22">
        <v>336.3</v>
      </c>
      <c r="S22">
        <v>336.3</v>
      </c>
      <c r="T22">
        <v>336.3</v>
      </c>
      <c r="U22">
        <v>336.3</v>
      </c>
    </row>
    <row r="23" spans="1:21">
      <c r="A23">
        <v>9</v>
      </c>
      <c r="C23">
        <v>336.9</v>
      </c>
      <c r="D23">
        <v>336.9</v>
      </c>
      <c r="E23">
        <v>336.9</v>
      </c>
      <c r="F23">
        <v>336.9</v>
      </c>
      <c r="G23">
        <v>336.9</v>
      </c>
      <c r="H23">
        <v>336.9</v>
      </c>
      <c r="I23">
        <v>336.9</v>
      </c>
      <c r="J23">
        <v>336.9</v>
      </c>
      <c r="K23">
        <v>336.9</v>
      </c>
      <c r="L23">
        <v>336.9</v>
      </c>
      <c r="M23">
        <v>336.9</v>
      </c>
      <c r="N23">
        <v>336.9</v>
      </c>
      <c r="O23">
        <v>336.9</v>
      </c>
      <c r="P23">
        <v>336.9</v>
      </c>
      <c r="Q23">
        <v>336.9</v>
      </c>
      <c r="R23">
        <v>336.9</v>
      </c>
      <c r="S23">
        <v>336.9</v>
      </c>
      <c r="T23">
        <v>336.9</v>
      </c>
      <c r="U23">
        <v>336.9</v>
      </c>
    </row>
    <row r="24" spans="1:21">
      <c r="A24">
        <v>10</v>
      </c>
      <c r="C24">
        <v>337.4</v>
      </c>
      <c r="D24">
        <v>337.4</v>
      </c>
      <c r="E24">
        <v>337.4</v>
      </c>
      <c r="F24">
        <v>337.5</v>
      </c>
      <c r="G24">
        <v>337.5</v>
      </c>
      <c r="H24">
        <v>337.5</v>
      </c>
      <c r="I24">
        <v>337.5</v>
      </c>
      <c r="J24">
        <v>337.5</v>
      </c>
      <c r="K24">
        <v>337.5</v>
      </c>
      <c r="L24">
        <v>337.5</v>
      </c>
      <c r="M24">
        <v>337.5</v>
      </c>
      <c r="N24">
        <v>337.5</v>
      </c>
      <c r="O24">
        <v>337.5</v>
      </c>
      <c r="P24">
        <v>337.5</v>
      </c>
      <c r="Q24">
        <v>337.5</v>
      </c>
      <c r="R24">
        <v>337.5</v>
      </c>
      <c r="S24">
        <v>337.5</v>
      </c>
      <c r="T24">
        <v>337.5</v>
      </c>
      <c r="U24">
        <v>337.5</v>
      </c>
    </row>
    <row r="25" spans="1:21">
      <c r="A25">
        <v>11</v>
      </c>
      <c r="C25">
        <v>338</v>
      </c>
      <c r="D25">
        <v>338</v>
      </c>
      <c r="E25">
        <v>338</v>
      </c>
      <c r="F25">
        <v>338</v>
      </c>
      <c r="G25">
        <v>338</v>
      </c>
      <c r="H25">
        <v>338</v>
      </c>
      <c r="I25">
        <v>338.1</v>
      </c>
      <c r="J25">
        <v>338.1</v>
      </c>
      <c r="K25">
        <v>338.1</v>
      </c>
      <c r="L25">
        <v>338.1</v>
      </c>
      <c r="M25">
        <v>338.1</v>
      </c>
      <c r="N25">
        <v>338.1</v>
      </c>
      <c r="O25">
        <v>338.1</v>
      </c>
      <c r="P25">
        <v>338.1</v>
      </c>
      <c r="Q25">
        <v>338.1</v>
      </c>
      <c r="R25">
        <v>338.1</v>
      </c>
      <c r="S25">
        <v>338.1</v>
      </c>
      <c r="T25">
        <v>338.1</v>
      </c>
      <c r="U25">
        <v>338.1</v>
      </c>
    </row>
    <row r="26" spans="1:21">
      <c r="A26">
        <v>12</v>
      </c>
      <c r="C26">
        <v>338.6</v>
      </c>
      <c r="D26">
        <v>338.6</v>
      </c>
      <c r="E26">
        <v>338.6</v>
      </c>
      <c r="F26">
        <v>338.6</v>
      </c>
      <c r="G26">
        <v>338.6</v>
      </c>
      <c r="H26">
        <v>338.6</v>
      </c>
      <c r="I26">
        <v>338.6</v>
      </c>
      <c r="J26">
        <v>338.6</v>
      </c>
      <c r="K26">
        <v>338.7</v>
      </c>
      <c r="L26">
        <v>338.7</v>
      </c>
      <c r="M26">
        <v>338.7</v>
      </c>
      <c r="N26">
        <v>338.7</v>
      </c>
      <c r="O26">
        <v>338.7</v>
      </c>
      <c r="P26">
        <v>338.7</v>
      </c>
      <c r="Q26">
        <v>338.7</v>
      </c>
      <c r="R26">
        <v>338.7</v>
      </c>
      <c r="S26">
        <v>338.7</v>
      </c>
      <c r="T26">
        <v>338.7</v>
      </c>
      <c r="U26">
        <v>338.7</v>
      </c>
    </row>
    <row r="27" spans="1:21">
      <c r="A27">
        <v>13</v>
      </c>
      <c r="C27">
        <v>339.2</v>
      </c>
      <c r="D27">
        <v>339.2</v>
      </c>
      <c r="E27">
        <v>339.2</v>
      </c>
      <c r="F27">
        <v>339.2</v>
      </c>
      <c r="G27">
        <v>339.2</v>
      </c>
      <c r="H27">
        <v>339.2</v>
      </c>
      <c r="I27">
        <v>339.2</v>
      </c>
      <c r="J27">
        <v>339.2</v>
      </c>
      <c r="K27">
        <v>339.2</v>
      </c>
      <c r="L27">
        <v>339.3</v>
      </c>
      <c r="M27">
        <v>339.3</v>
      </c>
      <c r="N27">
        <v>339.3</v>
      </c>
      <c r="O27">
        <v>339.3</v>
      </c>
      <c r="P27">
        <v>339.3</v>
      </c>
      <c r="Q27">
        <v>339.3</v>
      </c>
      <c r="R27">
        <v>339.3</v>
      </c>
      <c r="S27">
        <v>339.3</v>
      </c>
      <c r="T27">
        <v>339.3</v>
      </c>
      <c r="U27">
        <v>339.3</v>
      </c>
    </row>
    <row r="28" spans="1:21">
      <c r="A28">
        <v>14</v>
      </c>
      <c r="C28">
        <v>339.8</v>
      </c>
      <c r="D28">
        <v>339.8</v>
      </c>
      <c r="E28">
        <v>339.8</v>
      </c>
      <c r="F28">
        <v>339.8</v>
      </c>
      <c r="G28">
        <v>339.8</v>
      </c>
      <c r="H28">
        <v>339.8</v>
      </c>
      <c r="I28">
        <v>339.8</v>
      </c>
      <c r="J28">
        <v>339.8</v>
      </c>
      <c r="K28">
        <v>339.8</v>
      </c>
      <c r="L28">
        <v>339.8</v>
      </c>
      <c r="M28">
        <v>339.9</v>
      </c>
      <c r="N28">
        <v>339.9</v>
      </c>
      <c r="O28">
        <v>339.9</v>
      </c>
      <c r="P28">
        <v>339.9</v>
      </c>
      <c r="Q28">
        <v>339.9</v>
      </c>
      <c r="R28">
        <v>339.9</v>
      </c>
      <c r="S28">
        <v>339.9</v>
      </c>
      <c r="T28">
        <v>339.9</v>
      </c>
      <c r="U28">
        <v>339.9</v>
      </c>
    </row>
    <row r="29" spans="1:21">
      <c r="A29">
        <v>15</v>
      </c>
      <c r="C29">
        <v>340.4</v>
      </c>
      <c r="D29">
        <v>340.4</v>
      </c>
      <c r="E29">
        <v>340.4</v>
      </c>
      <c r="F29">
        <v>340.4</v>
      </c>
      <c r="G29">
        <v>340.4</v>
      </c>
      <c r="H29">
        <v>340.4</v>
      </c>
      <c r="I29">
        <v>340.4</v>
      </c>
      <c r="J29">
        <v>340.4</v>
      </c>
      <c r="K29">
        <v>340.4</v>
      </c>
      <c r="L29">
        <v>340.4</v>
      </c>
      <c r="M29">
        <v>340.5</v>
      </c>
      <c r="N29">
        <v>340.5</v>
      </c>
      <c r="O29">
        <v>340.5</v>
      </c>
      <c r="P29">
        <v>340.5</v>
      </c>
      <c r="Q29">
        <v>340.5</v>
      </c>
      <c r="R29">
        <v>340.5</v>
      </c>
      <c r="S29">
        <v>340.5</v>
      </c>
      <c r="T29">
        <v>340.5</v>
      </c>
      <c r="U29">
        <v>340.5</v>
      </c>
    </row>
    <row r="30" spans="1:21">
      <c r="A30">
        <v>16</v>
      </c>
      <c r="C30">
        <v>341</v>
      </c>
      <c r="D30">
        <v>341</v>
      </c>
      <c r="E30">
        <v>341</v>
      </c>
      <c r="F30">
        <v>341</v>
      </c>
      <c r="G30">
        <v>341</v>
      </c>
      <c r="H30">
        <v>341</v>
      </c>
      <c r="I30">
        <v>341</v>
      </c>
      <c r="J30">
        <v>341</v>
      </c>
      <c r="K30">
        <v>341</v>
      </c>
      <c r="L30">
        <v>341</v>
      </c>
      <c r="M30">
        <v>341.1</v>
      </c>
      <c r="N30">
        <v>341.1</v>
      </c>
      <c r="O30">
        <v>341.1</v>
      </c>
      <c r="P30">
        <v>341.1</v>
      </c>
      <c r="Q30">
        <v>341.1</v>
      </c>
      <c r="R30">
        <v>341.1</v>
      </c>
      <c r="S30">
        <v>341.1</v>
      </c>
      <c r="T30">
        <v>341.1</v>
      </c>
      <c r="U30">
        <v>341.1</v>
      </c>
    </row>
    <row r="31" spans="1:21">
      <c r="A31">
        <v>17</v>
      </c>
      <c r="C31">
        <v>341.6</v>
      </c>
      <c r="D31">
        <v>341.6</v>
      </c>
      <c r="E31">
        <v>341.6</v>
      </c>
      <c r="F31">
        <v>341.6</v>
      </c>
      <c r="G31">
        <v>341.6</v>
      </c>
      <c r="H31">
        <v>341.6</v>
      </c>
      <c r="I31">
        <v>341.6</v>
      </c>
      <c r="J31">
        <v>341.6</v>
      </c>
      <c r="K31">
        <v>341.6</v>
      </c>
      <c r="L31">
        <v>341.6</v>
      </c>
      <c r="M31">
        <v>341.7</v>
      </c>
      <c r="N31">
        <v>341.7</v>
      </c>
      <c r="O31">
        <v>341.7</v>
      </c>
      <c r="P31">
        <v>341.7</v>
      </c>
      <c r="Q31">
        <v>341.7</v>
      </c>
      <c r="R31">
        <v>341.7</v>
      </c>
      <c r="S31">
        <v>341.7</v>
      </c>
      <c r="T31">
        <v>341.7</v>
      </c>
      <c r="U31">
        <v>341.7</v>
      </c>
    </row>
    <row r="32" spans="1:21">
      <c r="A32">
        <v>18</v>
      </c>
      <c r="C32">
        <v>342.2</v>
      </c>
      <c r="D32">
        <v>342.2</v>
      </c>
      <c r="E32">
        <v>342.2</v>
      </c>
      <c r="F32">
        <v>342.2</v>
      </c>
      <c r="G32">
        <v>342.2</v>
      </c>
      <c r="H32">
        <v>342.2</v>
      </c>
      <c r="I32">
        <v>342.2</v>
      </c>
      <c r="J32">
        <v>342.2</v>
      </c>
      <c r="K32">
        <v>342.2</v>
      </c>
      <c r="L32">
        <v>342.2</v>
      </c>
      <c r="M32">
        <v>342.3</v>
      </c>
      <c r="N32">
        <v>342.3</v>
      </c>
      <c r="O32">
        <v>342.3</v>
      </c>
      <c r="P32">
        <v>342.3</v>
      </c>
      <c r="Q32">
        <v>342.3</v>
      </c>
      <c r="R32">
        <v>342.3</v>
      </c>
      <c r="S32">
        <v>342.3</v>
      </c>
      <c r="T32">
        <v>342.3</v>
      </c>
      <c r="U32">
        <v>342.3</v>
      </c>
    </row>
    <row r="33" spans="1:21">
      <c r="A33">
        <v>19</v>
      </c>
      <c r="C33">
        <v>342.7</v>
      </c>
      <c r="D33">
        <v>342.7</v>
      </c>
      <c r="E33">
        <v>342.8</v>
      </c>
      <c r="F33">
        <v>342.8</v>
      </c>
      <c r="G33">
        <v>342.8</v>
      </c>
      <c r="H33">
        <v>342.8</v>
      </c>
      <c r="I33">
        <v>342.8</v>
      </c>
      <c r="J33">
        <v>342.8</v>
      </c>
      <c r="K33">
        <v>342.8</v>
      </c>
      <c r="L33">
        <v>342.8</v>
      </c>
      <c r="M33">
        <v>342.9</v>
      </c>
      <c r="N33">
        <v>342.9</v>
      </c>
      <c r="O33">
        <v>342.9</v>
      </c>
      <c r="P33">
        <v>342.9</v>
      </c>
      <c r="Q33">
        <v>342.9</v>
      </c>
      <c r="R33">
        <v>342.9</v>
      </c>
      <c r="S33">
        <v>342.9</v>
      </c>
      <c r="T33">
        <v>342.9</v>
      </c>
      <c r="U33">
        <v>343</v>
      </c>
    </row>
    <row r="34" spans="1:21">
      <c r="A34">
        <v>20</v>
      </c>
      <c r="C34">
        <v>343.3</v>
      </c>
      <c r="D34">
        <v>343.3</v>
      </c>
      <c r="E34">
        <v>343.3</v>
      </c>
      <c r="F34">
        <v>343.4</v>
      </c>
      <c r="G34">
        <v>343.4</v>
      </c>
      <c r="H34">
        <v>343.4</v>
      </c>
      <c r="I34">
        <v>343.4</v>
      </c>
      <c r="J34">
        <v>343.4</v>
      </c>
      <c r="K34">
        <v>343.4</v>
      </c>
      <c r="L34">
        <v>343.4</v>
      </c>
      <c r="M34">
        <v>343.5</v>
      </c>
      <c r="N34">
        <v>343.5</v>
      </c>
      <c r="O34">
        <v>343.5</v>
      </c>
      <c r="P34">
        <v>343.5</v>
      </c>
      <c r="Q34">
        <v>343.5</v>
      </c>
      <c r="R34">
        <v>343.5</v>
      </c>
      <c r="S34">
        <v>343.5</v>
      </c>
      <c r="T34">
        <v>343.6</v>
      </c>
      <c r="U34">
        <v>343.6</v>
      </c>
    </row>
    <row r="35" spans="1:21">
      <c r="A35">
        <v>21</v>
      </c>
      <c r="C35">
        <v>343.9</v>
      </c>
      <c r="D35">
        <v>343.9</v>
      </c>
      <c r="E35">
        <v>343.9</v>
      </c>
      <c r="F35">
        <v>343.9</v>
      </c>
      <c r="G35">
        <v>344</v>
      </c>
      <c r="H35">
        <v>344</v>
      </c>
      <c r="I35">
        <v>344</v>
      </c>
      <c r="J35">
        <v>344</v>
      </c>
      <c r="K35">
        <v>344</v>
      </c>
      <c r="L35">
        <v>344</v>
      </c>
      <c r="M35">
        <v>344.1</v>
      </c>
      <c r="N35">
        <v>344.1</v>
      </c>
      <c r="O35">
        <v>344.1</v>
      </c>
      <c r="P35">
        <v>344.1</v>
      </c>
      <c r="Q35">
        <v>344.1</v>
      </c>
      <c r="R35">
        <v>344.1</v>
      </c>
      <c r="S35">
        <v>344.2</v>
      </c>
      <c r="T35">
        <v>344.2</v>
      </c>
      <c r="U35">
        <v>344.2</v>
      </c>
    </row>
    <row r="36" spans="1:21">
      <c r="A36">
        <v>22</v>
      </c>
      <c r="C36">
        <v>344.5</v>
      </c>
      <c r="D36">
        <v>344.5</v>
      </c>
      <c r="E36">
        <v>344.5</v>
      </c>
      <c r="F36">
        <v>344.5</v>
      </c>
      <c r="G36">
        <v>344.6</v>
      </c>
      <c r="H36">
        <v>344.6</v>
      </c>
      <c r="I36">
        <v>344.6</v>
      </c>
      <c r="J36">
        <v>344.6</v>
      </c>
      <c r="K36">
        <v>344.6</v>
      </c>
      <c r="L36">
        <v>344.7</v>
      </c>
      <c r="M36">
        <v>344.7</v>
      </c>
      <c r="N36">
        <v>344.7</v>
      </c>
      <c r="O36">
        <v>344.7</v>
      </c>
      <c r="P36">
        <v>344.7</v>
      </c>
      <c r="Q36">
        <v>344.8</v>
      </c>
      <c r="R36">
        <v>344.8</v>
      </c>
      <c r="S36">
        <v>344.8</v>
      </c>
      <c r="T36">
        <v>344.8</v>
      </c>
      <c r="U36">
        <v>344.8</v>
      </c>
    </row>
    <row r="37" spans="1:21">
      <c r="A37">
        <v>23</v>
      </c>
      <c r="C37">
        <v>345.1</v>
      </c>
      <c r="D37">
        <v>345.1</v>
      </c>
      <c r="E37">
        <v>345.1</v>
      </c>
      <c r="F37">
        <v>345.1</v>
      </c>
      <c r="G37">
        <v>345.1</v>
      </c>
      <c r="H37">
        <v>345.2</v>
      </c>
      <c r="I37">
        <v>345.2</v>
      </c>
      <c r="J37">
        <v>345.2</v>
      </c>
      <c r="K37">
        <v>345.2</v>
      </c>
      <c r="L37">
        <v>345.3</v>
      </c>
      <c r="M37">
        <v>345.3</v>
      </c>
      <c r="N37">
        <v>345.3</v>
      </c>
      <c r="O37">
        <v>345.3</v>
      </c>
      <c r="P37">
        <v>345.4</v>
      </c>
      <c r="Q37">
        <v>345.4</v>
      </c>
      <c r="R37">
        <v>345.4</v>
      </c>
      <c r="S37">
        <v>345.4</v>
      </c>
      <c r="T37">
        <v>345.4</v>
      </c>
      <c r="U37">
        <v>345.5</v>
      </c>
    </row>
    <row r="38" spans="1:21">
      <c r="A38">
        <v>24</v>
      </c>
      <c r="C38">
        <v>345.6</v>
      </c>
      <c r="D38">
        <v>345.7</v>
      </c>
      <c r="E38">
        <v>345.7</v>
      </c>
      <c r="F38">
        <v>345.7</v>
      </c>
      <c r="G38">
        <v>345.7</v>
      </c>
      <c r="H38">
        <v>345.8</v>
      </c>
      <c r="I38">
        <v>345.8</v>
      </c>
      <c r="J38">
        <v>345.8</v>
      </c>
      <c r="K38">
        <v>345.8</v>
      </c>
      <c r="L38">
        <v>345.9</v>
      </c>
      <c r="M38">
        <v>345.9</v>
      </c>
      <c r="N38">
        <v>345.9</v>
      </c>
      <c r="O38">
        <v>346</v>
      </c>
      <c r="P38">
        <v>346</v>
      </c>
      <c r="Q38">
        <v>346</v>
      </c>
      <c r="R38">
        <v>346</v>
      </c>
      <c r="S38">
        <v>346.1</v>
      </c>
      <c r="T38">
        <v>346.1</v>
      </c>
      <c r="U38">
        <v>346.1</v>
      </c>
    </row>
    <row r="39" spans="1:21">
      <c r="A39">
        <v>25</v>
      </c>
      <c r="C39">
        <v>346.2</v>
      </c>
      <c r="D39">
        <v>346.2</v>
      </c>
      <c r="E39">
        <v>346.3</v>
      </c>
      <c r="F39">
        <v>346.3</v>
      </c>
      <c r="G39">
        <v>346.3</v>
      </c>
      <c r="H39">
        <v>346.4</v>
      </c>
      <c r="I39">
        <v>346.4</v>
      </c>
      <c r="J39">
        <v>346.4</v>
      </c>
      <c r="K39">
        <v>346.5</v>
      </c>
      <c r="L39">
        <v>346.5</v>
      </c>
      <c r="M39">
        <v>346.5</v>
      </c>
      <c r="N39">
        <v>346.5</v>
      </c>
      <c r="O39">
        <v>346.6</v>
      </c>
      <c r="P39">
        <v>346.6</v>
      </c>
      <c r="Q39">
        <v>346.6</v>
      </c>
      <c r="R39">
        <v>346.7</v>
      </c>
      <c r="S39">
        <v>346.7</v>
      </c>
      <c r="T39">
        <v>346.7</v>
      </c>
      <c r="U39">
        <v>346.8</v>
      </c>
    </row>
    <row r="40" spans="1:21">
      <c r="A40">
        <v>26</v>
      </c>
      <c r="C40">
        <v>346.8</v>
      </c>
      <c r="D40">
        <v>346.8</v>
      </c>
      <c r="E40">
        <v>346.9</v>
      </c>
      <c r="F40">
        <v>346.9</v>
      </c>
      <c r="G40">
        <v>346.9</v>
      </c>
      <c r="H40">
        <v>347</v>
      </c>
      <c r="I40">
        <v>347</v>
      </c>
      <c r="J40">
        <v>347</v>
      </c>
      <c r="K40">
        <v>347.1</v>
      </c>
      <c r="L40">
        <v>347.1</v>
      </c>
      <c r="M40">
        <v>347.1</v>
      </c>
      <c r="N40">
        <v>347.2</v>
      </c>
      <c r="O40">
        <v>347.2</v>
      </c>
      <c r="P40">
        <v>347.2</v>
      </c>
      <c r="Q40">
        <v>347.3</v>
      </c>
      <c r="R40">
        <v>347.3</v>
      </c>
      <c r="S40">
        <v>347.3</v>
      </c>
      <c r="T40">
        <v>347.4</v>
      </c>
      <c r="U40">
        <v>347.4</v>
      </c>
    </row>
    <row r="41" spans="1:21">
      <c r="A41">
        <v>27</v>
      </c>
      <c r="C41">
        <v>347.4</v>
      </c>
      <c r="D41">
        <v>347.4</v>
      </c>
      <c r="E41">
        <v>347.4</v>
      </c>
      <c r="F41">
        <v>347.5</v>
      </c>
      <c r="G41">
        <v>347.5</v>
      </c>
      <c r="H41">
        <v>347.6</v>
      </c>
      <c r="I41">
        <v>347.6</v>
      </c>
      <c r="J41">
        <v>347.6</v>
      </c>
      <c r="K41">
        <v>347.7</v>
      </c>
      <c r="L41">
        <v>347.7</v>
      </c>
      <c r="M41">
        <v>347.8</v>
      </c>
      <c r="N41">
        <v>347.8</v>
      </c>
      <c r="O41">
        <v>347.8</v>
      </c>
      <c r="P41">
        <v>347.9</v>
      </c>
      <c r="Q41">
        <v>347.9</v>
      </c>
      <c r="R41">
        <v>348</v>
      </c>
      <c r="S41">
        <v>348</v>
      </c>
      <c r="T41">
        <v>348</v>
      </c>
      <c r="U41">
        <v>348.1</v>
      </c>
    </row>
    <row r="42" spans="1:21">
      <c r="A42">
        <v>28</v>
      </c>
      <c r="C42">
        <v>347.9</v>
      </c>
      <c r="D42">
        <v>348</v>
      </c>
      <c r="E42">
        <v>348</v>
      </c>
      <c r="F42">
        <v>348.1</v>
      </c>
      <c r="G42">
        <v>348.1</v>
      </c>
      <c r="H42">
        <v>348.2</v>
      </c>
      <c r="I42">
        <v>348.2</v>
      </c>
      <c r="J42">
        <v>348.3</v>
      </c>
      <c r="K42">
        <v>348.3</v>
      </c>
      <c r="L42">
        <v>348.3</v>
      </c>
      <c r="M42">
        <v>348.4</v>
      </c>
      <c r="N42">
        <v>348.4</v>
      </c>
      <c r="O42">
        <v>348.5</v>
      </c>
      <c r="P42">
        <v>348.5</v>
      </c>
      <c r="Q42">
        <v>348.6</v>
      </c>
      <c r="R42">
        <v>348.6</v>
      </c>
      <c r="S42">
        <v>348.7</v>
      </c>
      <c r="T42">
        <v>348.7</v>
      </c>
      <c r="U42">
        <v>348.8</v>
      </c>
    </row>
    <row r="43" spans="1:21">
      <c r="A43">
        <v>29</v>
      </c>
      <c r="C43">
        <v>348.5</v>
      </c>
      <c r="D43">
        <v>348.6</v>
      </c>
      <c r="E43">
        <v>348.6</v>
      </c>
      <c r="F43">
        <v>348.7</v>
      </c>
      <c r="G43">
        <v>348.7</v>
      </c>
      <c r="H43">
        <v>348.8</v>
      </c>
      <c r="I43">
        <v>348.8</v>
      </c>
      <c r="J43">
        <v>348.9</v>
      </c>
      <c r="K43">
        <v>348.9</v>
      </c>
      <c r="L43">
        <v>349</v>
      </c>
      <c r="M43">
        <v>349</v>
      </c>
      <c r="N43">
        <v>349.1</v>
      </c>
      <c r="O43">
        <v>349.1</v>
      </c>
      <c r="P43">
        <v>349.2</v>
      </c>
      <c r="Q43">
        <v>349.2</v>
      </c>
      <c r="R43">
        <v>349.3</v>
      </c>
      <c r="S43">
        <v>349.3</v>
      </c>
      <c r="T43">
        <v>349.4</v>
      </c>
      <c r="U43">
        <v>349.4</v>
      </c>
    </row>
    <row r="44" spans="1:21">
      <c r="A44">
        <v>30</v>
      </c>
      <c r="C44">
        <v>349.1</v>
      </c>
      <c r="D44">
        <v>349.1</v>
      </c>
      <c r="E44">
        <v>349.2</v>
      </c>
      <c r="F44">
        <v>349.3</v>
      </c>
      <c r="G44">
        <v>349.3</v>
      </c>
      <c r="H44">
        <v>349.4</v>
      </c>
      <c r="I44">
        <v>349.4</v>
      </c>
      <c r="J44">
        <v>349.5</v>
      </c>
      <c r="K44">
        <v>349.6</v>
      </c>
      <c r="L44">
        <v>349.6</v>
      </c>
      <c r="M44">
        <v>349.7</v>
      </c>
      <c r="N44">
        <v>349.7</v>
      </c>
      <c r="O44">
        <v>349.8</v>
      </c>
      <c r="P44">
        <v>349.8</v>
      </c>
      <c r="Q44">
        <v>349.9</v>
      </c>
      <c r="R44">
        <v>350</v>
      </c>
      <c r="S44">
        <v>350</v>
      </c>
      <c r="T44">
        <v>350.1</v>
      </c>
      <c r="U44">
        <v>350.1</v>
      </c>
    </row>
    <row r="45" spans="1:21">
      <c r="A45">
        <v>31</v>
      </c>
      <c r="C45">
        <v>349.7</v>
      </c>
      <c r="D45">
        <v>349.7</v>
      </c>
      <c r="E45">
        <v>349.8</v>
      </c>
      <c r="F45">
        <v>349.9</v>
      </c>
      <c r="G45">
        <v>349.9</v>
      </c>
      <c r="H45">
        <v>350</v>
      </c>
      <c r="I45">
        <v>350.1</v>
      </c>
      <c r="J45">
        <v>350.1</v>
      </c>
      <c r="K45">
        <v>350.2</v>
      </c>
      <c r="L45">
        <v>350.3</v>
      </c>
      <c r="M45">
        <v>350.3</v>
      </c>
      <c r="N45">
        <v>350.4</v>
      </c>
      <c r="O45">
        <v>350.5</v>
      </c>
      <c r="P45">
        <v>350.5</v>
      </c>
      <c r="Q45">
        <v>350.6</v>
      </c>
      <c r="R45">
        <v>350.7</v>
      </c>
      <c r="S45">
        <v>350.7</v>
      </c>
      <c r="T45">
        <v>350.8</v>
      </c>
      <c r="U45">
        <v>350.8</v>
      </c>
    </row>
    <row r="46" spans="1:21">
      <c r="A46">
        <v>32</v>
      </c>
      <c r="C46">
        <v>350.2</v>
      </c>
      <c r="D46">
        <v>350.3</v>
      </c>
      <c r="E46">
        <v>350.4</v>
      </c>
      <c r="F46">
        <v>350.4</v>
      </c>
      <c r="G46">
        <v>350.5</v>
      </c>
      <c r="H46">
        <v>350.6</v>
      </c>
      <c r="I46">
        <v>350.7</v>
      </c>
      <c r="J46">
        <v>350.7</v>
      </c>
      <c r="K46">
        <v>350.8</v>
      </c>
      <c r="L46">
        <v>350.9</v>
      </c>
      <c r="M46">
        <v>351</v>
      </c>
      <c r="N46">
        <v>351</v>
      </c>
      <c r="O46">
        <v>351.1</v>
      </c>
      <c r="P46">
        <v>351.2</v>
      </c>
      <c r="Q46">
        <v>351.3</v>
      </c>
      <c r="R46">
        <v>351.3</v>
      </c>
      <c r="S46">
        <v>351.4</v>
      </c>
      <c r="T46">
        <v>351.5</v>
      </c>
      <c r="U46">
        <v>351.6</v>
      </c>
    </row>
    <row r="47" spans="1:21">
      <c r="A47">
        <v>33</v>
      </c>
      <c r="C47">
        <v>350.8</v>
      </c>
      <c r="D47">
        <v>350.9</v>
      </c>
      <c r="E47">
        <v>351</v>
      </c>
      <c r="F47">
        <v>351</v>
      </c>
      <c r="G47">
        <v>351.1</v>
      </c>
      <c r="H47">
        <v>351.2</v>
      </c>
      <c r="I47">
        <v>351.3</v>
      </c>
      <c r="J47">
        <v>351.4</v>
      </c>
      <c r="K47">
        <v>351.5</v>
      </c>
      <c r="L47">
        <v>351.6</v>
      </c>
      <c r="M47">
        <v>351.6</v>
      </c>
      <c r="N47">
        <v>351.7</v>
      </c>
      <c r="O47">
        <v>351.8</v>
      </c>
      <c r="P47">
        <v>351.9</v>
      </c>
      <c r="Q47">
        <v>352</v>
      </c>
      <c r="R47">
        <v>352.1</v>
      </c>
      <c r="S47">
        <v>352.1</v>
      </c>
      <c r="T47">
        <v>352.2</v>
      </c>
      <c r="U47">
        <v>352.3</v>
      </c>
    </row>
    <row r="48" spans="1:21">
      <c r="A48">
        <v>34</v>
      </c>
      <c r="C48">
        <v>351.4</v>
      </c>
      <c r="D48">
        <v>351.5</v>
      </c>
      <c r="E48">
        <v>351.5</v>
      </c>
      <c r="F48">
        <v>351.6</v>
      </c>
      <c r="G48">
        <v>351.7</v>
      </c>
      <c r="H48">
        <v>351.8</v>
      </c>
      <c r="I48">
        <v>351.9</v>
      </c>
      <c r="J48">
        <v>352</v>
      </c>
      <c r="K48">
        <v>352.1</v>
      </c>
      <c r="L48">
        <v>352.2</v>
      </c>
      <c r="M48">
        <v>352.3</v>
      </c>
      <c r="N48">
        <v>352.4</v>
      </c>
      <c r="O48">
        <v>352.5</v>
      </c>
      <c r="P48">
        <v>352.6</v>
      </c>
      <c r="Q48">
        <v>352.7</v>
      </c>
      <c r="R48">
        <v>352.8</v>
      </c>
      <c r="S48">
        <v>352.9</v>
      </c>
      <c r="T48">
        <v>353</v>
      </c>
      <c r="U48">
        <v>353.1</v>
      </c>
    </row>
    <row r="49" spans="1:21">
      <c r="A49">
        <v>35</v>
      </c>
      <c r="C49">
        <v>351.9</v>
      </c>
      <c r="D49">
        <v>352</v>
      </c>
      <c r="E49">
        <v>352.1</v>
      </c>
      <c r="F49">
        <v>352.2</v>
      </c>
      <c r="G49">
        <v>352.4</v>
      </c>
      <c r="H49">
        <v>352.5</v>
      </c>
      <c r="I49">
        <v>352.6</v>
      </c>
      <c r="J49">
        <v>352.7</v>
      </c>
      <c r="K49">
        <v>352.8</v>
      </c>
      <c r="L49">
        <v>352.9</v>
      </c>
      <c r="M49">
        <v>353</v>
      </c>
      <c r="N49">
        <v>353.1</v>
      </c>
      <c r="O49">
        <v>353.2</v>
      </c>
      <c r="P49">
        <v>353.3</v>
      </c>
      <c r="Q49">
        <v>353.4</v>
      </c>
      <c r="R49">
        <v>353.5</v>
      </c>
      <c r="S49">
        <v>353.6</v>
      </c>
      <c r="T49">
        <v>353.7</v>
      </c>
      <c r="U49">
        <v>353.8</v>
      </c>
    </row>
    <row r="50" spans="1:21">
      <c r="A50">
        <v>36</v>
      </c>
      <c r="C50">
        <v>352.5</v>
      </c>
      <c r="D50">
        <v>352.6</v>
      </c>
      <c r="E50">
        <v>352.7</v>
      </c>
      <c r="F50">
        <v>352.8</v>
      </c>
      <c r="G50">
        <v>353</v>
      </c>
      <c r="H50">
        <v>353.1</v>
      </c>
      <c r="I50">
        <v>353.2</v>
      </c>
      <c r="J50">
        <v>353.3</v>
      </c>
      <c r="K50">
        <v>353.4</v>
      </c>
      <c r="L50">
        <v>353.6</v>
      </c>
      <c r="M50">
        <v>353.7</v>
      </c>
      <c r="N50">
        <v>353.8</v>
      </c>
      <c r="O50">
        <v>353.9</v>
      </c>
      <c r="P50">
        <v>354</v>
      </c>
      <c r="Q50">
        <v>354.2</v>
      </c>
      <c r="R50">
        <v>354.3</v>
      </c>
      <c r="S50">
        <v>354.4</v>
      </c>
      <c r="T50">
        <v>354.5</v>
      </c>
      <c r="U50">
        <v>354.6</v>
      </c>
    </row>
    <row r="51" spans="1:21">
      <c r="A51">
        <v>37</v>
      </c>
      <c r="C51">
        <v>353.1</v>
      </c>
      <c r="D51">
        <v>353.2</v>
      </c>
      <c r="E51">
        <v>353.3</v>
      </c>
      <c r="F51">
        <v>353.5</v>
      </c>
      <c r="G51">
        <v>353.6</v>
      </c>
      <c r="H51">
        <v>353.7</v>
      </c>
      <c r="I51">
        <v>353.9</v>
      </c>
      <c r="J51">
        <v>354</v>
      </c>
      <c r="K51">
        <v>354.1</v>
      </c>
      <c r="L51">
        <v>354.3</v>
      </c>
      <c r="M51">
        <v>354.4</v>
      </c>
      <c r="N51">
        <v>354.5</v>
      </c>
      <c r="O51">
        <v>354.7</v>
      </c>
      <c r="P51">
        <v>354.8</v>
      </c>
      <c r="Q51">
        <v>354.9</v>
      </c>
      <c r="R51">
        <v>355.1</v>
      </c>
      <c r="S51">
        <v>355.2</v>
      </c>
      <c r="T51">
        <v>355.3</v>
      </c>
      <c r="U51">
        <v>355.5</v>
      </c>
    </row>
    <row r="52" spans="1:21">
      <c r="A52">
        <v>38</v>
      </c>
      <c r="C52">
        <v>353.6</v>
      </c>
      <c r="D52">
        <v>353.8</v>
      </c>
      <c r="E52">
        <v>353.9</v>
      </c>
      <c r="F52">
        <v>354.1</v>
      </c>
      <c r="G52">
        <v>354.2</v>
      </c>
      <c r="H52">
        <v>354.4</v>
      </c>
      <c r="I52">
        <v>354.5</v>
      </c>
      <c r="J52">
        <v>354.7</v>
      </c>
      <c r="K52">
        <v>354.8</v>
      </c>
      <c r="L52">
        <v>355</v>
      </c>
      <c r="M52">
        <v>355.1</v>
      </c>
      <c r="N52">
        <v>355.3</v>
      </c>
      <c r="O52">
        <v>355.4</v>
      </c>
      <c r="P52">
        <v>355.6</v>
      </c>
      <c r="Q52">
        <v>355.7</v>
      </c>
      <c r="R52">
        <v>355.8</v>
      </c>
      <c r="S52">
        <v>356</v>
      </c>
      <c r="T52">
        <v>356.1</v>
      </c>
      <c r="U52">
        <v>356.3</v>
      </c>
    </row>
    <row r="53" spans="1:21">
      <c r="A53">
        <v>39</v>
      </c>
      <c r="C53">
        <v>354.2</v>
      </c>
      <c r="D53">
        <v>354.3</v>
      </c>
      <c r="E53">
        <v>354.5</v>
      </c>
      <c r="F53">
        <v>354.7</v>
      </c>
      <c r="G53">
        <v>354.8</v>
      </c>
      <c r="H53">
        <v>355</v>
      </c>
      <c r="I53">
        <v>355.2</v>
      </c>
      <c r="J53">
        <v>355.3</v>
      </c>
      <c r="K53">
        <v>355.5</v>
      </c>
      <c r="L53">
        <v>355.7</v>
      </c>
      <c r="M53">
        <v>355.8</v>
      </c>
      <c r="N53">
        <v>356</v>
      </c>
      <c r="O53">
        <v>356.2</v>
      </c>
      <c r="P53">
        <v>356.3</v>
      </c>
      <c r="Q53">
        <v>356.5</v>
      </c>
      <c r="R53">
        <v>356.7</v>
      </c>
      <c r="S53">
        <v>356.8</v>
      </c>
      <c r="T53">
        <v>357</v>
      </c>
      <c r="U53">
        <v>357.2</v>
      </c>
    </row>
    <row r="54" spans="1:21">
      <c r="A54">
        <v>40</v>
      </c>
      <c r="C54">
        <v>354.7</v>
      </c>
      <c r="D54">
        <v>354.9</v>
      </c>
      <c r="E54">
        <v>355.1</v>
      </c>
      <c r="F54">
        <v>355.3</v>
      </c>
      <c r="G54">
        <v>355.5</v>
      </c>
      <c r="H54">
        <v>355.7</v>
      </c>
      <c r="I54">
        <v>355.8</v>
      </c>
      <c r="J54">
        <v>356</v>
      </c>
      <c r="K54">
        <v>356.2</v>
      </c>
      <c r="L54">
        <v>356.4</v>
      </c>
      <c r="M54">
        <v>356.6</v>
      </c>
      <c r="N54">
        <v>356.8</v>
      </c>
      <c r="O54">
        <v>356.9</v>
      </c>
      <c r="P54">
        <v>357.1</v>
      </c>
      <c r="Q54">
        <v>357.3</v>
      </c>
      <c r="R54">
        <v>357.5</v>
      </c>
      <c r="S54">
        <v>357.7</v>
      </c>
      <c r="T54">
        <v>357.9</v>
      </c>
      <c r="U54">
        <v>358</v>
      </c>
    </row>
    <row r="55" spans="1:21">
      <c r="A55">
        <v>41</v>
      </c>
      <c r="C55">
        <v>355.3</v>
      </c>
      <c r="D55">
        <v>355.5</v>
      </c>
      <c r="E55">
        <v>355.7</v>
      </c>
      <c r="F55">
        <v>355.9</v>
      </c>
      <c r="G55">
        <v>356.1</v>
      </c>
      <c r="H55">
        <v>356.3</v>
      </c>
      <c r="I55">
        <v>356.5</v>
      </c>
      <c r="J55">
        <v>356.7</v>
      </c>
      <c r="K55">
        <v>356.9</v>
      </c>
      <c r="L55">
        <v>357.1</v>
      </c>
      <c r="M55">
        <v>357.3</v>
      </c>
      <c r="N55">
        <v>357.5</v>
      </c>
      <c r="O55">
        <v>357.8</v>
      </c>
      <c r="P55">
        <v>358</v>
      </c>
      <c r="Q55">
        <v>358.2</v>
      </c>
      <c r="R55">
        <v>358.4</v>
      </c>
      <c r="S55">
        <v>358.6</v>
      </c>
      <c r="T55">
        <v>358.8</v>
      </c>
      <c r="U55">
        <v>359</v>
      </c>
    </row>
    <row r="56" spans="1:21">
      <c r="A56">
        <v>42</v>
      </c>
      <c r="C56">
        <v>355.9</v>
      </c>
      <c r="D56">
        <v>356.1</v>
      </c>
      <c r="E56">
        <v>356.3</v>
      </c>
      <c r="F56">
        <v>356.5</v>
      </c>
      <c r="G56">
        <v>356.8</v>
      </c>
      <c r="H56">
        <v>357</v>
      </c>
      <c r="I56">
        <v>357.2</v>
      </c>
      <c r="J56">
        <v>357.4</v>
      </c>
      <c r="K56">
        <v>357.7</v>
      </c>
      <c r="L56">
        <v>357.9</v>
      </c>
      <c r="M56">
        <v>358.1</v>
      </c>
      <c r="N56">
        <v>358.3</v>
      </c>
      <c r="O56">
        <v>358.6</v>
      </c>
      <c r="P56">
        <v>358.8</v>
      </c>
      <c r="Q56">
        <v>359</v>
      </c>
      <c r="R56">
        <v>359.2</v>
      </c>
      <c r="S56">
        <v>359.5</v>
      </c>
      <c r="T56">
        <v>359.7</v>
      </c>
      <c r="U56">
        <v>359.9</v>
      </c>
    </row>
    <row r="57" spans="1:21">
      <c r="A57">
        <v>43</v>
      </c>
      <c r="C57">
        <v>356.4</v>
      </c>
      <c r="D57">
        <v>356.7</v>
      </c>
      <c r="E57">
        <v>356.9</v>
      </c>
      <c r="F57">
        <v>357.2</v>
      </c>
      <c r="G57">
        <v>357.4</v>
      </c>
      <c r="H57">
        <v>357.7</v>
      </c>
      <c r="I57">
        <v>357.9</v>
      </c>
      <c r="J57">
        <v>358.2</v>
      </c>
      <c r="K57">
        <v>358.4</v>
      </c>
      <c r="L57">
        <v>358.7</v>
      </c>
      <c r="M57">
        <v>358.9</v>
      </c>
      <c r="N57">
        <v>359.2</v>
      </c>
      <c r="O57">
        <v>359.4</v>
      </c>
      <c r="P57">
        <v>359.7</v>
      </c>
      <c r="Q57">
        <v>359.9</v>
      </c>
      <c r="R57">
        <v>360.2</v>
      </c>
      <c r="S57">
        <v>360.4</v>
      </c>
      <c r="T57">
        <v>360.7</v>
      </c>
      <c r="U57">
        <v>360.9</v>
      </c>
    </row>
    <row r="58" spans="1:21">
      <c r="A58">
        <v>44</v>
      </c>
      <c r="C58">
        <v>357</v>
      </c>
      <c r="D58">
        <v>357.3</v>
      </c>
      <c r="E58">
        <v>357.5</v>
      </c>
      <c r="F58">
        <v>357.8</v>
      </c>
      <c r="G58">
        <v>358.1</v>
      </c>
      <c r="H58">
        <v>358.4</v>
      </c>
      <c r="I58">
        <v>358.6</v>
      </c>
      <c r="J58">
        <v>358.9</v>
      </c>
      <c r="K58">
        <v>359.2</v>
      </c>
      <c r="L58">
        <v>359.5</v>
      </c>
      <c r="M58">
        <v>359.7</v>
      </c>
      <c r="N58">
        <v>360</v>
      </c>
      <c r="O58">
        <v>360.3</v>
      </c>
      <c r="P58">
        <v>360.6</v>
      </c>
      <c r="Q58">
        <v>360.8</v>
      </c>
      <c r="R58">
        <v>361.1</v>
      </c>
      <c r="S58">
        <v>361.4</v>
      </c>
      <c r="T58">
        <v>361.7</v>
      </c>
      <c r="U58">
        <v>361.9</v>
      </c>
    </row>
    <row r="59" spans="1:21">
      <c r="A59">
        <v>45</v>
      </c>
      <c r="C59">
        <v>357.5</v>
      </c>
      <c r="D59">
        <v>357.8</v>
      </c>
      <c r="E59">
        <v>358.1</v>
      </c>
      <c r="F59">
        <v>358.4</v>
      </c>
      <c r="G59">
        <v>358.8</v>
      </c>
      <c r="H59">
        <v>359.1</v>
      </c>
      <c r="I59">
        <v>359.4</v>
      </c>
      <c r="J59">
        <v>359.7</v>
      </c>
      <c r="K59">
        <v>360</v>
      </c>
      <c r="L59">
        <v>360.3</v>
      </c>
      <c r="M59">
        <v>360.6</v>
      </c>
      <c r="N59">
        <v>360.9</v>
      </c>
      <c r="O59">
        <v>361.2</v>
      </c>
      <c r="P59">
        <v>361.5</v>
      </c>
      <c r="Q59">
        <v>361.8</v>
      </c>
      <c r="R59">
        <v>362.1</v>
      </c>
      <c r="S59">
        <v>362.4</v>
      </c>
      <c r="T59">
        <v>362.7</v>
      </c>
      <c r="U59">
        <v>363</v>
      </c>
    </row>
    <row r="60" spans="1:21">
      <c r="A60">
        <v>46</v>
      </c>
      <c r="C60">
        <v>358.1</v>
      </c>
      <c r="D60">
        <v>358.4</v>
      </c>
      <c r="E60">
        <v>358.8</v>
      </c>
      <c r="F60">
        <v>359.1</v>
      </c>
      <c r="G60">
        <v>359.4</v>
      </c>
      <c r="H60">
        <v>359.8</v>
      </c>
      <c r="I60">
        <v>360.1</v>
      </c>
      <c r="J60">
        <v>360.4</v>
      </c>
      <c r="K60">
        <v>360.8</v>
      </c>
      <c r="L60">
        <v>361.1</v>
      </c>
      <c r="M60">
        <v>361.4</v>
      </c>
      <c r="N60">
        <v>361.8</v>
      </c>
      <c r="O60">
        <v>362.1</v>
      </c>
      <c r="P60">
        <v>362.4</v>
      </c>
      <c r="Q60">
        <v>362.8</v>
      </c>
      <c r="R60">
        <v>363.1</v>
      </c>
      <c r="S60">
        <v>363.4</v>
      </c>
      <c r="T60">
        <v>363.8</v>
      </c>
      <c r="U60">
        <v>364.1</v>
      </c>
    </row>
    <row r="61" spans="1:21">
      <c r="A61">
        <v>47</v>
      </c>
      <c r="C61">
        <v>358.6</v>
      </c>
      <c r="D61">
        <v>359</v>
      </c>
      <c r="E61">
        <v>359.4</v>
      </c>
      <c r="F61">
        <v>359.7</v>
      </c>
      <c r="G61">
        <v>360.1</v>
      </c>
      <c r="H61">
        <v>360.5</v>
      </c>
      <c r="I61">
        <v>360.9</v>
      </c>
      <c r="J61">
        <v>361.2</v>
      </c>
      <c r="K61">
        <v>361.6</v>
      </c>
      <c r="L61">
        <v>362</v>
      </c>
      <c r="M61">
        <v>362.3</v>
      </c>
      <c r="N61">
        <v>362.7</v>
      </c>
      <c r="O61">
        <v>363.1</v>
      </c>
      <c r="P61">
        <v>363.4</v>
      </c>
      <c r="Q61">
        <v>363.8</v>
      </c>
      <c r="R61">
        <v>364.2</v>
      </c>
      <c r="S61">
        <v>364.5</v>
      </c>
      <c r="T61">
        <v>364.9</v>
      </c>
      <c r="U61">
        <v>365.3</v>
      </c>
    </row>
    <row r="62" spans="1:21">
      <c r="A62">
        <v>48</v>
      </c>
      <c r="C62">
        <v>359.2</v>
      </c>
      <c r="D62">
        <v>359.6</v>
      </c>
      <c r="E62">
        <v>360</v>
      </c>
      <c r="F62">
        <v>360.4</v>
      </c>
      <c r="G62">
        <v>360.8</v>
      </c>
      <c r="H62">
        <v>361.2</v>
      </c>
      <c r="I62">
        <v>361.6</v>
      </c>
      <c r="J62">
        <v>362</v>
      </c>
      <c r="K62">
        <v>362.4</v>
      </c>
      <c r="L62">
        <v>362.8</v>
      </c>
      <c r="M62">
        <v>363.2</v>
      </c>
      <c r="N62">
        <v>363.6</v>
      </c>
      <c r="O62">
        <v>364</v>
      </c>
      <c r="P62">
        <v>364.4</v>
      </c>
      <c r="Q62">
        <v>364.8</v>
      </c>
      <c r="R62">
        <v>365.2</v>
      </c>
      <c r="S62">
        <v>365.6</v>
      </c>
      <c r="T62">
        <v>366</v>
      </c>
      <c r="U62">
        <v>366.5</v>
      </c>
    </row>
    <row r="63" spans="1:21">
      <c r="A63">
        <v>49</v>
      </c>
      <c r="C63">
        <v>359.7</v>
      </c>
      <c r="D63">
        <v>360.2</v>
      </c>
      <c r="E63">
        <v>360.6</v>
      </c>
      <c r="F63">
        <v>361.1</v>
      </c>
      <c r="G63">
        <v>361.5</v>
      </c>
      <c r="H63">
        <v>362</v>
      </c>
      <c r="I63">
        <v>362.4</v>
      </c>
      <c r="J63">
        <v>362.9</v>
      </c>
      <c r="K63">
        <v>363.3</v>
      </c>
      <c r="L63">
        <v>363.7</v>
      </c>
      <c r="M63">
        <v>364.2</v>
      </c>
      <c r="N63">
        <v>364.6</v>
      </c>
      <c r="O63">
        <v>365.1</v>
      </c>
      <c r="P63">
        <v>365.5</v>
      </c>
      <c r="Q63">
        <v>365.9</v>
      </c>
      <c r="R63">
        <v>366.4</v>
      </c>
      <c r="S63">
        <v>366.8</v>
      </c>
      <c r="T63">
        <v>367.3</v>
      </c>
      <c r="U63">
        <v>367.7</v>
      </c>
    </row>
    <row r="64" spans="1:21">
      <c r="A64">
        <v>50</v>
      </c>
      <c r="C64">
        <v>360.3</v>
      </c>
      <c r="D64">
        <v>360.8</v>
      </c>
      <c r="E64">
        <v>361.3</v>
      </c>
      <c r="F64">
        <v>361.8</v>
      </c>
      <c r="G64">
        <v>362.2</v>
      </c>
      <c r="H64">
        <v>362.7</v>
      </c>
      <c r="I64">
        <v>363.2</v>
      </c>
      <c r="J64">
        <v>363.7</v>
      </c>
      <c r="K64">
        <v>364.2</v>
      </c>
      <c r="L64">
        <v>364.7</v>
      </c>
      <c r="M64">
        <v>365.2</v>
      </c>
      <c r="N64">
        <v>365.6</v>
      </c>
      <c r="O64">
        <v>366.1</v>
      </c>
      <c r="P64">
        <v>366.6</v>
      </c>
      <c r="Q64">
        <v>367.1</v>
      </c>
      <c r="R64">
        <v>367.6</v>
      </c>
      <c r="S64">
        <v>368</v>
      </c>
      <c r="T64">
        <v>368.5</v>
      </c>
      <c r="U64">
        <v>369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0:V171"/>
  <sheetViews>
    <sheetView workbookViewId="0">
      <selection activeCell="G65" sqref="G65"/>
    </sheetView>
  </sheetViews>
  <sheetFormatPr defaultRowHeight="15"/>
  <cols>
    <col min="7" max="7" width="22.28515625" customWidth="1"/>
  </cols>
  <sheetData>
    <row r="10" spans="1:21">
      <c r="A10" t="s">
        <v>0</v>
      </c>
      <c r="I10" t="s">
        <v>1</v>
      </c>
    </row>
    <row r="11" spans="1:21">
      <c r="C11">
        <v>0</v>
      </c>
      <c r="D11">
        <v>5</v>
      </c>
      <c r="E11">
        <v>10</v>
      </c>
      <c r="F11">
        <v>15</v>
      </c>
      <c r="G11">
        <v>20</v>
      </c>
      <c r="H11">
        <v>25</v>
      </c>
      <c r="I11">
        <v>30</v>
      </c>
      <c r="J11">
        <v>35</v>
      </c>
      <c r="K11">
        <v>40</v>
      </c>
      <c r="L11">
        <v>45</v>
      </c>
      <c r="M11">
        <v>50</v>
      </c>
      <c r="N11">
        <v>55</v>
      </c>
      <c r="O11">
        <v>60</v>
      </c>
      <c r="P11">
        <v>65</v>
      </c>
      <c r="Q11">
        <v>70</v>
      </c>
      <c r="R11">
        <v>75</v>
      </c>
      <c r="S11">
        <v>80</v>
      </c>
      <c r="T11">
        <v>85</v>
      </c>
      <c r="U11">
        <v>90</v>
      </c>
    </row>
    <row r="12" spans="1:21">
      <c r="A12">
        <v>0</v>
      </c>
      <c r="B12">
        <v>0</v>
      </c>
      <c r="C12">
        <v>331.5</v>
      </c>
      <c r="D12">
        <v>331.5</v>
      </c>
      <c r="E12">
        <v>331.5</v>
      </c>
      <c r="F12">
        <v>331.5</v>
      </c>
      <c r="G12">
        <v>331.5</v>
      </c>
      <c r="H12">
        <v>331.5</v>
      </c>
      <c r="I12">
        <v>331.5</v>
      </c>
      <c r="J12">
        <v>331.5</v>
      </c>
      <c r="K12">
        <v>331.5</v>
      </c>
      <c r="L12">
        <v>331.5</v>
      </c>
      <c r="M12">
        <v>331.5</v>
      </c>
      <c r="N12">
        <v>331.5</v>
      </c>
      <c r="O12">
        <v>331.5</v>
      </c>
      <c r="P12">
        <v>331.5</v>
      </c>
      <c r="Q12">
        <v>331.5</v>
      </c>
      <c r="R12">
        <v>331.5</v>
      </c>
      <c r="S12">
        <v>331.5</v>
      </c>
      <c r="T12">
        <v>331.5</v>
      </c>
      <c r="U12">
        <v>331.5</v>
      </c>
    </row>
    <row r="13" spans="1:21">
      <c r="A13">
        <v>1</v>
      </c>
      <c r="B13">
        <v>1</v>
      </c>
      <c r="C13">
        <v>332.1</v>
      </c>
      <c r="D13">
        <v>332.1</v>
      </c>
      <c r="E13">
        <v>332.1</v>
      </c>
      <c r="F13">
        <v>332.1</v>
      </c>
      <c r="G13">
        <v>332.1</v>
      </c>
      <c r="H13">
        <v>332.1</v>
      </c>
      <c r="I13">
        <v>332.1</v>
      </c>
      <c r="J13">
        <v>332.1</v>
      </c>
      <c r="K13">
        <v>332.1</v>
      </c>
      <c r="L13">
        <v>332.1</v>
      </c>
      <c r="M13">
        <v>332.1</v>
      </c>
      <c r="N13">
        <v>332.1</v>
      </c>
      <c r="O13">
        <v>332.1</v>
      </c>
      <c r="P13">
        <v>332.1</v>
      </c>
      <c r="Q13">
        <v>332.1</v>
      </c>
      <c r="R13">
        <v>332.1</v>
      </c>
      <c r="S13">
        <v>332.1</v>
      </c>
      <c r="T13">
        <v>332.1</v>
      </c>
      <c r="U13">
        <v>332.1</v>
      </c>
    </row>
    <row r="14" spans="1:21">
      <c r="A14">
        <v>2</v>
      </c>
      <c r="B14">
        <v>2</v>
      </c>
      <c r="C14">
        <v>332.7</v>
      </c>
      <c r="D14">
        <v>332.7</v>
      </c>
      <c r="E14">
        <v>332.7</v>
      </c>
      <c r="F14">
        <v>332.7</v>
      </c>
      <c r="G14">
        <v>332.7</v>
      </c>
      <c r="H14">
        <v>332.7</v>
      </c>
      <c r="I14">
        <v>332.7</v>
      </c>
      <c r="J14">
        <v>332.7</v>
      </c>
      <c r="K14">
        <v>332.7</v>
      </c>
      <c r="L14">
        <v>332.7</v>
      </c>
      <c r="M14">
        <v>332.7</v>
      </c>
      <c r="N14">
        <v>332.7</v>
      </c>
      <c r="O14">
        <v>332.7</v>
      </c>
      <c r="P14">
        <v>332.7</v>
      </c>
      <c r="Q14">
        <v>332.7</v>
      </c>
      <c r="R14">
        <v>332.7</v>
      </c>
      <c r="S14">
        <v>332.7</v>
      </c>
      <c r="T14">
        <v>332.7</v>
      </c>
      <c r="U14">
        <v>332.7</v>
      </c>
    </row>
    <row r="15" spans="1:21">
      <c r="A15">
        <v>3</v>
      </c>
      <c r="B15">
        <v>3</v>
      </c>
      <c r="C15">
        <v>333.3</v>
      </c>
      <c r="D15">
        <v>333.3</v>
      </c>
      <c r="E15">
        <v>333.3</v>
      </c>
      <c r="F15">
        <v>333.3</v>
      </c>
      <c r="G15">
        <v>333.3</v>
      </c>
      <c r="H15">
        <v>333.3</v>
      </c>
      <c r="I15">
        <v>333.3</v>
      </c>
      <c r="J15">
        <v>333.3</v>
      </c>
      <c r="K15">
        <v>333.3</v>
      </c>
      <c r="L15">
        <v>333.3</v>
      </c>
      <c r="M15">
        <v>333.3</v>
      </c>
      <c r="N15">
        <v>333.3</v>
      </c>
      <c r="O15">
        <v>333.3</v>
      </c>
      <c r="P15">
        <v>333.3</v>
      </c>
      <c r="Q15">
        <v>333.3</v>
      </c>
      <c r="R15">
        <v>333.3</v>
      </c>
      <c r="S15">
        <v>333.3</v>
      </c>
      <c r="T15">
        <v>333.3</v>
      </c>
      <c r="U15">
        <v>333.3</v>
      </c>
    </row>
    <row r="16" spans="1:21">
      <c r="A16">
        <v>4</v>
      </c>
      <c r="B16">
        <v>4</v>
      </c>
      <c r="C16">
        <v>333.9</v>
      </c>
      <c r="D16">
        <v>333.9</v>
      </c>
      <c r="E16">
        <v>333.9</v>
      </c>
      <c r="F16">
        <v>333.9</v>
      </c>
      <c r="G16">
        <v>333.9</v>
      </c>
      <c r="H16">
        <v>333.9</v>
      </c>
      <c r="I16">
        <v>333.9</v>
      </c>
      <c r="J16">
        <v>333.9</v>
      </c>
      <c r="K16">
        <v>333.9</v>
      </c>
      <c r="L16">
        <v>333.9</v>
      </c>
      <c r="M16">
        <v>333.9</v>
      </c>
      <c r="N16">
        <v>333.9</v>
      </c>
      <c r="O16">
        <v>333.9</v>
      </c>
      <c r="P16">
        <v>333.9</v>
      </c>
      <c r="Q16">
        <v>333.9</v>
      </c>
      <c r="R16">
        <v>333.9</v>
      </c>
      <c r="S16">
        <v>333.9</v>
      </c>
      <c r="T16">
        <v>333.9</v>
      </c>
      <c r="U16">
        <v>333.9</v>
      </c>
    </row>
    <row r="17" spans="1:21">
      <c r="A17">
        <v>5</v>
      </c>
      <c r="B17">
        <v>5</v>
      </c>
      <c r="C17">
        <v>334.5</v>
      </c>
      <c r="D17">
        <v>334.5</v>
      </c>
      <c r="E17">
        <v>334.5</v>
      </c>
      <c r="F17">
        <v>334.5</v>
      </c>
      <c r="G17">
        <v>334.5</v>
      </c>
      <c r="H17">
        <v>334.5</v>
      </c>
      <c r="I17">
        <v>334.5</v>
      </c>
      <c r="J17">
        <v>334.5</v>
      </c>
      <c r="K17">
        <v>334.5</v>
      </c>
      <c r="L17">
        <v>334.5</v>
      </c>
      <c r="M17">
        <v>334.5</v>
      </c>
      <c r="N17">
        <v>334.5</v>
      </c>
      <c r="O17">
        <v>334.5</v>
      </c>
      <c r="P17">
        <v>334.5</v>
      </c>
      <c r="Q17">
        <v>334.5</v>
      </c>
      <c r="R17">
        <v>334.5</v>
      </c>
      <c r="S17">
        <v>334.5</v>
      </c>
      <c r="T17">
        <v>334.5</v>
      </c>
      <c r="U17">
        <v>334.5</v>
      </c>
    </row>
    <row r="18" spans="1:21">
      <c r="A18">
        <v>6</v>
      </c>
      <c r="B18">
        <v>6</v>
      </c>
      <c r="C18">
        <v>335.1</v>
      </c>
      <c r="D18">
        <v>335.1</v>
      </c>
      <c r="E18">
        <v>335.1</v>
      </c>
      <c r="F18">
        <v>335.1</v>
      </c>
      <c r="G18">
        <v>335.1</v>
      </c>
      <c r="H18">
        <v>335.1</v>
      </c>
      <c r="I18">
        <v>335.1</v>
      </c>
      <c r="J18">
        <v>335.1</v>
      </c>
      <c r="K18">
        <v>335.1</v>
      </c>
      <c r="L18">
        <v>335.1</v>
      </c>
      <c r="M18">
        <v>335.1</v>
      </c>
      <c r="N18">
        <v>335.1</v>
      </c>
      <c r="O18">
        <v>335.1</v>
      </c>
      <c r="P18">
        <v>335.1</v>
      </c>
      <c r="Q18">
        <v>335.1</v>
      </c>
      <c r="R18">
        <v>335.1</v>
      </c>
      <c r="S18">
        <v>335.1</v>
      </c>
      <c r="T18">
        <v>335.1</v>
      </c>
      <c r="U18">
        <v>335.1</v>
      </c>
    </row>
    <row r="19" spans="1:21">
      <c r="A19">
        <v>7</v>
      </c>
      <c r="B19">
        <v>7</v>
      </c>
      <c r="C19">
        <v>335.7</v>
      </c>
      <c r="D19">
        <v>335.7</v>
      </c>
      <c r="E19">
        <v>335.7</v>
      </c>
      <c r="F19">
        <v>335.7</v>
      </c>
      <c r="G19">
        <v>335.7</v>
      </c>
      <c r="H19">
        <v>335.7</v>
      </c>
      <c r="I19">
        <v>335.7</v>
      </c>
      <c r="J19">
        <v>335.7</v>
      </c>
      <c r="K19">
        <v>335.7</v>
      </c>
      <c r="L19">
        <v>335.7</v>
      </c>
      <c r="M19">
        <v>335.7</v>
      </c>
      <c r="N19">
        <v>335.7</v>
      </c>
      <c r="O19">
        <v>335.7</v>
      </c>
      <c r="P19">
        <v>335.7</v>
      </c>
      <c r="Q19">
        <v>335.7</v>
      </c>
      <c r="R19">
        <v>335.7</v>
      </c>
      <c r="S19">
        <v>335.7</v>
      </c>
      <c r="T19">
        <v>335.7</v>
      </c>
      <c r="U19">
        <v>335.7</v>
      </c>
    </row>
    <row r="20" spans="1:21">
      <c r="A20">
        <v>8</v>
      </c>
      <c r="B20">
        <v>8</v>
      </c>
      <c r="C20">
        <v>336.3</v>
      </c>
      <c r="D20">
        <v>336.3</v>
      </c>
      <c r="E20">
        <v>336.3</v>
      </c>
      <c r="F20">
        <v>336.3</v>
      </c>
      <c r="G20">
        <v>336.3</v>
      </c>
      <c r="H20">
        <v>336.3</v>
      </c>
      <c r="I20">
        <v>336.3</v>
      </c>
      <c r="J20">
        <v>336.3</v>
      </c>
      <c r="K20">
        <v>336.3</v>
      </c>
      <c r="L20">
        <v>336.3</v>
      </c>
      <c r="M20">
        <v>336.3</v>
      </c>
      <c r="N20">
        <v>336.3</v>
      </c>
      <c r="O20">
        <v>336.3</v>
      </c>
      <c r="P20">
        <v>336.3</v>
      </c>
      <c r="Q20">
        <v>336.3</v>
      </c>
      <c r="R20">
        <v>336.3</v>
      </c>
      <c r="S20">
        <v>336.3</v>
      </c>
      <c r="T20">
        <v>336.3</v>
      </c>
      <c r="U20">
        <v>336.3</v>
      </c>
    </row>
    <row r="21" spans="1:21">
      <c r="A21">
        <v>9</v>
      </c>
      <c r="B21">
        <v>9</v>
      </c>
      <c r="C21">
        <v>336.9</v>
      </c>
      <c r="D21">
        <v>336.9</v>
      </c>
      <c r="E21">
        <v>336.9</v>
      </c>
      <c r="F21">
        <v>336.9</v>
      </c>
      <c r="G21">
        <v>336.9</v>
      </c>
      <c r="H21">
        <v>336.9</v>
      </c>
      <c r="I21">
        <v>336.9</v>
      </c>
      <c r="J21">
        <v>336.9</v>
      </c>
      <c r="K21">
        <v>336.9</v>
      </c>
      <c r="L21">
        <v>336.9</v>
      </c>
      <c r="M21">
        <v>336.9</v>
      </c>
      <c r="N21">
        <v>336.9</v>
      </c>
      <c r="O21">
        <v>336.9</v>
      </c>
      <c r="P21">
        <v>336.9</v>
      </c>
      <c r="Q21">
        <v>336.9</v>
      </c>
      <c r="R21">
        <v>336.9</v>
      </c>
      <c r="S21">
        <v>336.9</v>
      </c>
      <c r="T21">
        <v>336.9</v>
      </c>
      <c r="U21">
        <v>336.9</v>
      </c>
    </row>
    <row r="22" spans="1:21">
      <c r="A22">
        <v>10</v>
      </c>
      <c r="B22">
        <v>10</v>
      </c>
      <c r="C22">
        <v>337.4</v>
      </c>
      <c r="D22">
        <v>337.4</v>
      </c>
      <c r="E22">
        <v>337.4</v>
      </c>
      <c r="F22">
        <v>337.5</v>
      </c>
      <c r="G22">
        <v>337.5</v>
      </c>
      <c r="H22">
        <v>337.5</v>
      </c>
      <c r="I22">
        <v>337.5</v>
      </c>
      <c r="J22">
        <v>337.5</v>
      </c>
      <c r="K22">
        <v>337.5</v>
      </c>
      <c r="L22">
        <v>337.5</v>
      </c>
      <c r="M22">
        <v>337.5</v>
      </c>
      <c r="N22">
        <v>337.5</v>
      </c>
      <c r="O22">
        <v>337.5</v>
      </c>
      <c r="P22">
        <v>337.5</v>
      </c>
      <c r="Q22">
        <v>337.5</v>
      </c>
      <c r="R22">
        <v>337.5</v>
      </c>
      <c r="S22">
        <v>337.5</v>
      </c>
      <c r="T22">
        <v>337.5</v>
      </c>
      <c r="U22">
        <v>337.5</v>
      </c>
    </row>
    <row r="23" spans="1:21">
      <c r="A23">
        <v>11</v>
      </c>
      <c r="B23">
        <v>11</v>
      </c>
      <c r="C23">
        <v>338</v>
      </c>
      <c r="D23">
        <v>338</v>
      </c>
      <c r="E23">
        <v>338</v>
      </c>
      <c r="F23">
        <v>338</v>
      </c>
      <c r="G23">
        <v>338</v>
      </c>
      <c r="H23">
        <v>338</v>
      </c>
      <c r="I23">
        <v>338.1</v>
      </c>
      <c r="J23">
        <v>338.1</v>
      </c>
      <c r="K23">
        <v>338.1</v>
      </c>
      <c r="L23">
        <v>338.1</v>
      </c>
      <c r="M23">
        <v>338.1</v>
      </c>
      <c r="N23">
        <v>338.1</v>
      </c>
      <c r="O23">
        <v>338.1</v>
      </c>
      <c r="P23">
        <v>338.1</v>
      </c>
      <c r="Q23">
        <v>338.1</v>
      </c>
      <c r="R23">
        <v>338.1</v>
      </c>
      <c r="S23">
        <v>338.1</v>
      </c>
      <c r="T23">
        <v>338.1</v>
      </c>
      <c r="U23">
        <v>338.1</v>
      </c>
    </row>
    <row r="24" spans="1:21">
      <c r="A24">
        <v>12</v>
      </c>
      <c r="B24">
        <v>12</v>
      </c>
      <c r="C24">
        <v>338.6</v>
      </c>
      <c r="D24">
        <v>338.6</v>
      </c>
      <c r="E24">
        <v>338.6</v>
      </c>
      <c r="F24">
        <v>338.6</v>
      </c>
      <c r="G24">
        <v>338.6</v>
      </c>
      <c r="H24">
        <v>338.6</v>
      </c>
      <c r="I24">
        <v>338.6</v>
      </c>
      <c r="J24">
        <v>338.6</v>
      </c>
      <c r="K24">
        <v>338.7</v>
      </c>
      <c r="L24">
        <v>338.7</v>
      </c>
      <c r="M24">
        <v>338.7</v>
      </c>
      <c r="N24">
        <v>338.7</v>
      </c>
      <c r="O24">
        <v>338.7</v>
      </c>
      <c r="P24">
        <v>338.7</v>
      </c>
      <c r="Q24">
        <v>338.7</v>
      </c>
      <c r="R24">
        <v>338.7</v>
      </c>
      <c r="S24">
        <v>338.7</v>
      </c>
      <c r="T24">
        <v>338.7</v>
      </c>
      <c r="U24">
        <v>338.7</v>
      </c>
    </row>
    <row r="25" spans="1:21">
      <c r="A25">
        <v>13</v>
      </c>
      <c r="B25">
        <v>13</v>
      </c>
      <c r="C25">
        <v>339.2</v>
      </c>
      <c r="D25">
        <v>339.2</v>
      </c>
      <c r="E25">
        <v>339.2</v>
      </c>
      <c r="F25">
        <v>339.2</v>
      </c>
      <c r="G25">
        <v>339.2</v>
      </c>
      <c r="H25">
        <v>339.2</v>
      </c>
      <c r="I25">
        <v>339.2</v>
      </c>
      <c r="J25">
        <v>339.2</v>
      </c>
      <c r="K25">
        <v>339.2</v>
      </c>
      <c r="L25">
        <v>339.3</v>
      </c>
      <c r="M25">
        <v>339.3</v>
      </c>
      <c r="N25">
        <v>339.3</v>
      </c>
      <c r="O25">
        <v>339.3</v>
      </c>
      <c r="P25">
        <v>339.3</v>
      </c>
      <c r="Q25">
        <v>339.3</v>
      </c>
      <c r="R25">
        <v>339.3</v>
      </c>
      <c r="S25">
        <v>339.3</v>
      </c>
      <c r="T25">
        <v>339.3</v>
      </c>
      <c r="U25">
        <v>339.3</v>
      </c>
    </row>
    <row r="26" spans="1:21">
      <c r="A26">
        <v>14</v>
      </c>
      <c r="B26">
        <v>14</v>
      </c>
      <c r="C26">
        <v>339.8</v>
      </c>
      <c r="D26">
        <v>339.8</v>
      </c>
      <c r="E26">
        <v>339.8</v>
      </c>
      <c r="F26">
        <v>339.8</v>
      </c>
      <c r="G26">
        <v>339.8</v>
      </c>
      <c r="H26">
        <v>339.8</v>
      </c>
      <c r="I26">
        <v>339.8</v>
      </c>
      <c r="J26">
        <v>339.8</v>
      </c>
      <c r="K26">
        <v>339.8</v>
      </c>
      <c r="L26">
        <v>339.8</v>
      </c>
      <c r="M26">
        <v>339.9</v>
      </c>
      <c r="N26">
        <v>339.9</v>
      </c>
      <c r="O26">
        <v>339.9</v>
      </c>
      <c r="P26">
        <v>339.9</v>
      </c>
      <c r="Q26">
        <v>339.9</v>
      </c>
      <c r="R26">
        <v>339.9</v>
      </c>
      <c r="S26">
        <v>339.9</v>
      </c>
      <c r="T26">
        <v>339.9</v>
      </c>
      <c r="U26">
        <v>339.9</v>
      </c>
    </row>
    <row r="27" spans="1:21">
      <c r="A27">
        <v>15</v>
      </c>
      <c r="B27">
        <v>15</v>
      </c>
      <c r="C27">
        <v>340.4</v>
      </c>
      <c r="D27">
        <v>340.4</v>
      </c>
      <c r="E27">
        <v>340.4</v>
      </c>
      <c r="F27">
        <v>340.4</v>
      </c>
      <c r="G27">
        <v>340.4</v>
      </c>
      <c r="H27">
        <v>340.4</v>
      </c>
      <c r="I27">
        <v>340.4</v>
      </c>
      <c r="J27">
        <v>340.4</v>
      </c>
      <c r="K27">
        <v>340.4</v>
      </c>
      <c r="L27">
        <v>340.4</v>
      </c>
      <c r="M27">
        <v>340.5</v>
      </c>
      <c r="N27">
        <v>340.5</v>
      </c>
      <c r="O27">
        <v>340.5</v>
      </c>
      <c r="P27">
        <v>340.5</v>
      </c>
      <c r="Q27">
        <v>340.5</v>
      </c>
      <c r="R27">
        <v>340.5</v>
      </c>
      <c r="S27">
        <v>340.5</v>
      </c>
      <c r="T27">
        <v>340.5</v>
      </c>
      <c r="U27">
        <v>340.5</v>
      </c>
    </row>
    <row r="28" spans="1:21">
      <c r="A28">
        <v>16</v>
      </c>
      <c r="B28">
        <v>16</v>
      </c>
      <c r="C28">
        <v>341</v>
      </c>
      <c r="D28">
        <v>341</v>
      </c>
      <c r="E28">
        <v>341</v>
      </c>
      <c r="F28">
        <v>341</v>
      </c>
      <c r="G28">
        <v>341</v>
      </c>
      <c r="H28">
        <v>341</v>
      </c>
      <c r="I28">
        <v>341</v>
      </c>
      <c r="J28">
        <v>341</v>
      </c>
      <c r="K28">
        <v>341</v>
      </c>
      <c r="L28">
        <v>341</v>
      </c>
      <c r="M28">
        <v>341.1</v>
      </c>
      <c r="N28">
        <v>341.1</v>
      </c>
      <c r="O28">
        <v>341.1</v>
      </c>
      <c r="P28">
        <v>341.1</v>
      </c>
      <c r="Q28">
        <v>341.1</v>
      </c>
      <c r="R28">
        <v>341.1</v>
      </c>
      <c r="S28">
        <v>341.1</v>
      </c>
      <c r="T28">
        <v>341.1</v>
      </c>
      <c r="U28">
        <v>341.1</v>
      </c>
    </row>
    <row r="29" spans="1:21">
      <c r="A29">
        <v>17</v>
      </c>
      <c r="B29">
        <v>17</v>
      </c>
      <c r="C29">
        <v>341.6</v>
      </c>
      <c r="D29">
        <v>341.6</v>
      </c>
      <c r="E29">
        <v>341.6</v>
      </c>
      <c r="F29">
        <v>341.6</v>
      </c>
      <c r="G29">
        <v>341.6</v>
      </c>
      <c r="H29">
        <v>341.6</v>
      </c>
      <c r="I29">
        <v>341.6</v>
      </c>
      <c r="J29">
        <v>341.6</v>
      </c>
      <c r="K29">
        <v>341.6</v>
      </c>
      <c r="L29">
        <v>341.6</v>
      </c>
      <c r="M29">
        <v>341.7</v>
      </c>
      <c r="N29">
        <v>341.7</v>
      </c>
      <c r="O29">
        <v>341.7</v>
      </c>
      <c r="P29">
        <v>341.7</v>
      </c>
      <c r="Q29">
        <v>341.7</v>
      </c>
      <c r="R29">
        <v>341.7</v>
      </c>
      <c r="S29">
        <v>341.7</v>
      </c>
      <c r="T29">
        <v>341.7</v>
      </c>
      <c r="U29">
        <v>341.7</v>
      </c>
    </row>
    <row r="30" spans="1:21">
      <c r="A30">
        <v>18</v>
      </c>
      <c r="B30">
        <v>18</v>
      </c>
      <c r="C30">
        <v>342.2</v>
      </c>
      <c r="D30">
        <v>342.2</v>
      </c>
      <c r="E30">
        <v>342.2</v>
      </c>
      <c r="F30">
        <v>342.2</v>
      </c>
      <c r="G30">
        <v>342.2</v>
      </c>
      <c r="H30">
        <v>342.2</v>
      </c>
      <c r="I30">
        <v>342.2</v>
      </c>
      <c r="J30">
        <v>342.2</v>
      </c>
      <c r="K30">
        <v>342.2</v>
      </c>
      <c r="L30">
        <v>342.2</v>
      </c>
      <c r="M30">
        <v>342.3</v>
      </c>
      <c r="N30">
        <v>342.3</v>
      </c>
      <c r="O30">
        <v>342.3</v>
      </c>
      <c r="P30">
        <v>342.3</v>
      </c>
      <c r="Q30">
        <v>342.3</v>
      </c>
      <c r="R30">
        <v>342.3</v>
      </c>
      <c r="S30">
        <v>342.3</v>
      </c>
      <c r="T30">
        <v>342.3</v>
      </c>
      <c r="U30">
        <v>342.3</v>
      </c>
    </row>
    <row r="31" spans="1:21">
      <c r="A31">
        <v>19</v>
      </c>
      <c r="B31">
        <v>19</v>
      </c>
      <c r="C31">
        <v>342.7</v>
      </c>
      <c r="D31">
        <v>342.7</v>
      </c>
      <c r="E31">
        <v>342.8</v>
      </c>
      <c r="F31">
        <v>342.8</v>
      </c>
      <c r="G31">
        <v>342.8</v>
      </c>
      <c r="H31">
        <v>342.8</v>
      </c>
      <c r="I31">
        <v>342.8</v>
      </c>
      <c r="J31">
        <v>342.8</v>
      </c>
      <c r="K31">
        <v>342.8</v>
      </c>
      <c r="L31">
        <v>342.8</v>
      </c>
      <c r="M31">
        <v>342.9</v>
      </c>
      <c r="N31">
        <v>342.9</v>
      </c>
      <c r="O31">
        <v>342.9</v>
      </c>
      <c r="P31">
        <v>342.9</v>
      </c>
      <c r="Q31">
        <v>342.9</v>
      </c>
      <c r="R31">
        <v>342.9</v>
      </c>
      <c r="S31">
        <v>342.9</v>
      </c>
      <c r="T31">
        <v>342.9</v>
      </c>
      <c r="U31">
        <v>343</v>
      </c>
    </row>
    <row r="32" spans="1:21">
      <c r="A32">
        <v>20</v>
      </c>
      <c r="B32">
        <v>20</v>
      </c>
      <c r="C32">
        <v>343.3</v>
      </c>
      <c r="D32">
        <v>343.3</v>
      </c>
      <c r="E32">
        <v>343.3</v>
      </c>
      <c r="F32">
        <v>343.4</v>
      </c>
      <c r="G32">
        <v>343.4</v>
      </c>
      <c r="H32">
        <v>343.4</v>
      </c>
      <c r="I32">
        <v>343.4</v>
      </c>
      <c r="J32">
        <v>343.4</v>
      </c>
      <c r="K32">
        <v>343.4</v>
      </c>
      <c r="L32">
        <v>343.4</v>
      </c>
      <c r="M32">
        <v>343.5</v>
      </c>
      <c r="N32">
        <v>343.5</v>
      </c>
      <c r="O32">
        <v>343.5</v>
      </c>
      <c r="P32">
        <v>343.5</v>
      </c>
      <c r="Q32">
        <v>343.5</v>
      </c>
      <c r="R32">
        <v>343.5</v>
      </c>
      <c r="S32">
        <v>343.5</v>
      </c>
      <c r="T32">
        <v>343.6</v>
      </c>
      <c r="U32">
        <v>343.6</v>
      </c>
    </row>
    <row r="33" spans="1:21">
      <c r="A33">
        <v>21</v>
      </c>
      <c r="B33">
        <v>21</v>
      </c>
      <c r="C33">
        <v>343.9</v>
      </c>
      <c r="D33">
        <v>343.9</v>
      </c>
      <c r="E33">
        <v>343.9</v>
      </c>
      <c r="F33">
        <v>343.9</v>
      </c>
      <c r="G33">
        <v>344</v>
      </c>
      <c r="H33">
        <v>344</v>
      </c>
      <c r="I33">
        <v>344</v>
      </c>
      <c r="J33">
        <v>344</v>
      </c>
      <c r="K33">
        <v>344</v>
      </c>
      <c r="L33">
        <v>344</v>
      </c>
      <c r="M33">
        <v>344.1</v>
      </c>
      <c r="N33">
        <v>344.1</v>
      </c>
      <c r="O33">
        <v>344.1</v>
      </c>
      <c r="P33">
        <v>344.1</v>
      </c>
      <c r="Q33">
        <v>344.1</v>
      </c>
      <c r="R33">
        <v>344.1</v>
      </c>
      <c r="S33">
        <v>344.2</v>
      </c>
      <c r="T33">
        <v>344.2</v>
      </c>
      <c r="U33">
        <v>344.2</v>
      </c>
    </row>
    <row r="34" spans="1:21">
      <c r="A34">
        <v>22</v>
      </c>
      <c r="B34">
        <v>22</v>
      </c>
      <c r="C34">
        <v>344.5</v>
      </c>
      <c r="D34">
        <v>344.5</v>
      </c>
      <c r="E34">
        <v>344.5</v>
      </c>
      <c r="F34">
        <v>344.5</v>
      </c>
      <c r="G34">
        <v>344.6</v>
      </c>
      <c r="H34">
        <v>344.6</v>
      </c>
      <c r="I34">
        <v>344.6</v>
      </c>
      <c r="J34">
        <v>344.6</v>
      </c>
      <c r="K34">
        <v>344.6</v>
      </c>
      <c r="L34">
        <v>344.7</v>
      </c>
      <c r="M34">
        <v>344.7</v>
      </c>
      <c r="N34">
        <v>344.7</v>
      </c>
      <c r="O34">
        <v>344.7</v>
      </c>
      <c r="P34">
        <v>344.7</v>
      </c>
      <c r="Q34">
        <v>344.8</v>
      </c>
      <c r="R34">
        <v>344.8</v>
      </c>
      <c r="S34">
        <v>344.8</v>
      </c>
      <c r="T34">
        <v>344.8</v>
      </c>
      <c r="U34">
        <v>344.8</v>
      </c>
    </row>
    <row r="35" spans="1:21">
      <c r="A35">
        <v>23</v>
      </c>
      <c r="B35">
        <v>23</v>
      </c>
      <c r="C35">
        <v>345.1</v>
      </c>
      <c r="D35">
        <v>345.1</v>
      </c>
      <c r="E35">
        <v>345.1</v>
      </c>
      <c r="F35">
        <v>345.1</v>
      </c>
      <c r="G35">
        <v>345.1</v>
      </c>
      <c r="H35">
        <v>345.2</v>
      </c>
      <c r="I35">
        <v>345.2</v>
      </c>
      <c r="J35">
        <v>345.2</v>
      </c>
      <c r="K35">
        <v>345.2</v>
      </c>
      <c r="L35">
        <v>345.3</v>
      </c>
      <c r="M35">
        <v>345.3</v>
      </c>
      <c r="N35">
        <v>345.3</v>
      </c>
      <c r="O35">
        <v>345.3</v>
      </c>
      <c r="P35">
        <v>345.4</v>
      </c>
      <c r="Q35">
        <v>345.4</v>
      </c>
      <c r="R35">
        <v>345.4</v>
      </c>
      <c r="S35">
        <v>345.4</v>
      </c>
      <c r="T35">
        <v>345.4</v>
      </c>
      <c r="U35">
        <v>345.5</v>
      </c>
    </row>
    <row r="36" spans="1:21">
      <c r="A36">
        <v>24</v>
      </c>
      <c r="B36">
        <v>24</v>
      </c>
      <c r="C36">
        <v>345.6</v>
      </c>
      <c r="D36">
        <v>345.7</v>
      </c>
      <c r="E36">
        <v>345.7</v>
      </c>
      <c r="F36">
        <v>345.7</v>
      </c>
      <c r="G36">
        <v>345.7</v>
      </c>
      <c r="H36">
        <v>345.8</v>
      </c>
      <c r="I36">
        <v>345.8</v>
      </c>
      <c r="J36">
        <v>345.8</v>
      </c>
      <c r="K36">
        <v>345.8</v>
      </c>
      <c r="L36">
        <v>345.9</v>
      </c>
      <c r="M36">
        <v>345.9</v>
      </c>
      <c r="N36">
        <v>345.9</v>
      </c>
      <c r="O36">
        <v>346</v>
      </c>
      <c r="P36">
        <v>346</v>
      </c>
      <c r="Q36">
        <v>346</v>
      </c>
      <c r="R36">
        <v>346</v>
      </c>
      <c r="S36">
        <v>346.1</v>
      </c>
      <c r="T36">
        <v>346.1</v>
      </c>
      <c r="U36">
        <v>346.1</v>
      </c>
    </row>
    <row r="37" spans="1:21">
      <c r="A37">
        <v>25</v>
      </c>
      <c r="B37">
        <v>25</v>
      </c>
      <c r="C37">
        <v>346.2</v>
      </c>
      <c r="D37">
        <v>346.2</v>
      </c>
      <c r="E37">
        <v>346.3</v>
      </c>
      <c r="F37">
        <v>346.3</v>
      </c>
      <c r="G37">
        <v>346.3</v>
      </c>
      <c r="H37">
        <v>346.4</v>
      </c>
      <c r="I37">
        <v>346.4</v>
      </c>
      <c r="J37">
        <v>346.4</v>
      </c>
      <c r="K37">
        <v>346.5</v>
      </c>
      <c r="L37">
        <v>346.5</v>
      </c>
      <c r="M37">
        <v>346.5</v>
      </c>
      <c r="N37">
        <v>346.5</v>
      </c>
      <c r="O37">
        <v>346.6</v>
      </c>
      <c r="P37">
        <v>346.6</v>
      </c>
      <c r="Q37">
        <v>346.6</v>
      </c>
      <c r="R37">
        <v>346.7</v>
      </c>
      <c r="S37">
        <v>346.7</v>
      </c>
      <c r="T37">
        <v>346.7</v>
      </c>
      <c r="U37">
        <v>346.8</v>
      </c>
    </row>
    <row r="38" spans="1:21">
      <c r="A38">
        <v>26</v>
      </c>
      <c r="B38">
        <v>26</v>
      </c>
      <c r="C38">
        <v>346.8</v>
      </c>
      <c r="D38">
        <v>346.8</v>
      </c>
      <c r="E38">
        <v>346.9</v>
      </c>
      <c r="F38">
        <v>346.9</v>
      </c>
      <c r="G38">
        <v>346.9</v>
      </c>
      <c r="H38">
        <v>347</v>
      </c>
      <c r="I38">
        <v>347</v>
      </c>
      <c r="J38">
        <v>347</v>
      </c>
      <c r="K38">
        <v>347.1</v>
      </c>
      <c r="L38">
        <v>347.1</v>
      </c>
      <c r="M38">
        <v>347.1</v>
      </c>
      <c r="N38">
        <v>347.2</v>
      </c>
      <c r="O38">
        <v>347.2</v>
      </c>
      <c r="P38">
        <v>347.2</v>
      </c>
      <c r="Q38">
        <v>347.3</v>
      </c>
      <c r="R38">
        <v>347.3</v>
      </c>
      <c r="S38">
        <v>347.3</v>
      </c>
      <c r="T38">
        <v>347.4</v>
      </c>
      <c r="U38">
        <v>347.4</v>
      </c>
    </row>
    <row r="39" spans="1:21">
      <c r="A39">
        <v>27</v>
      </c>
      <c r="B39">
        <v>27</v>
      </c>
      <c r="C39">
        <v>347.4</v>
      </c>
      <c r="D39">
        <v>347.4</v>
      </c>
      <c r="E39">
        <v>347.4</v>
      </c>
      <c r="F39">
        <v>347.5</v>
      </c>
      <c r="G39">
        <v>347.5</v>
      </c>
      <c r="H39">
        <v>347.6</v>
      </c>
      <c r="I39">
        <v>347.6</v>
      </c>
      <c r="J39">
        <v>347.6</v>
      </c>
      <c r="K39">
        <v>347.7</v>
      </c>
      <c r="L39">
        <v>347.7</v>
      </c>
      <c r="M39">
        <v>347.8</v>
      </c>
      <c r="N39">
        <v>347.8</v>
      </c>
      <c r="O39">
        <v>347.8</v>
      </c>
      <c r="P39">
        <v>347.9</v>
      </c>
      <c r="Q39">
        <v>347.9</v>
      </c>
      <c r="R39">
        <v>348</v>
      </c>
      <c r="S39">
        <v>348</v>
      </c>
      <c r="T39">
        <v>348</v>
      </c>
      <c r="U39">
        <v>348.1</v>
      </c>
    </row>
    <row r="40" spans="1:21">
      <c r="A40">
        <v>28</v>
      </c>
      <c r="B40">
        <v>28</v>
      </c>
      <c r="C40">
        <v>347.9</v>
      </c>
      <c r="D40">
        <v>348</v>
      </c>
      <c r="E40">
        <v>348</v>
      </c>
      <c r="F40">
        <v>348.1</v>
      </c>
      <c r="G40">
        <v>348.1</v>
      </c>
      <c r="H40">
        <v>348.2</v>
      </c>
      <c r="I40">
        <v>348.2</v>
      </c>
      <c r="J40">
        <v>348.3</v>
      </c>
      <c r="K40">
        <v>348.3</v>
      </c>
      <c r="L40">
        <v>348.3</v>
      </c>
      <c r="M40">
        <v>348.4</v>
      </c>
      <c r="N40">
        <v>348.4</v>
      </c>
      <c r="O40">
        <v>348.5</v>
      </c>
      <c r="P40">
        <v>348.5</v>
      </c>
      <c r="Q40">
        <v>348.6</v>
      </c>
      <c r="R40">
        <v>348.6</v>
      </c>
      <c r="S40">
        <v>348.7</v>
      </c>
      <c r="T40">
        <v>348.7</v>
      </c>
      <c r="U40">
        <v>348.8</v>
      </c>
    </row>
    <row r="41" spans="1:21">
      <c r="A41">
        <v>29</v>
      </c>
      <c r="B41">
        <v>29</v>
      </c>
      <c r="C41">
        <v>348.5</v>
      </c>
      <c r="D41">
        <v>348.6</v>
      </c>
      <c r="E41">
        <v>348.6</v>
      </c>
      <c r="F41">
        <v>348.7</v>
      </c>
      <c r="G41">
        <v>348.7</v>
      </c>
      <c r="H41">
        <v>348.8</v>
      </c>
      <c r="I41">
        <v>348.8</v>
      </c>
      <c r="J41">
        <v>348.9</v>
      </c>
      <c r="K41">
        <v>348.9</v>
      </c>
      <c r="L41">
        <v>349</v>
      </c>
      <c r="M41">
        <v>349</v>
      </c>
      <c r="N41">
        <v>349.1</v>
      </c>
      <c r="O41">
        <v>349.1</v>
      </c>
      <c r="P41">
        <v>349.2</v>
      </c>
      <c r="Q41">
        <v>349.2</v>
      </c>
      <c r="R41">
        <v>349.3</v>
      </c>
      <c r="S41">
        <v>349.3</v>
      </c>
      <c r="T41">
        <v>349.4</v>
      </c>
      <c r="U41">
        <v>349.4</v>
      </c>
    </row>
    <row r="42" spans="1:21">
      <c r="A42">
        <v>30</v>
      </c>
      <c r="B42">
        <v>30</v>
      </c>
      <c r="C42">
        <v>349.1</v>
      </c>
      <c r="D42">
        <v>349.1</v>
      </c>
      <c r="E42">
        <v>349.2</v>
      </c>
      <c r="F42">
        <v>349.3</v>
      </c>
      <c r="G42">
        <v>349.3</v>
      </c>
      <c r="H42">
        <v>349.4</v>
      </c>
      <c r="I42">
        <v>349.4</v>
      </c>
      <c r="J42">
        <v>349.5</v>
      </c>
      <c r="K42">
        <v>349.6</v>
      </c>
      <c r="L42">
        <v>349.6</v>
      </c>
      <c r="M42">
        <v>349.7</v>
      </c>
      <c r="N42">
        <v>349.7</v>
      </c>
      <c r="O42">
        <v>349.8</v>
      </c>
      <c r="P42">
        <v>349.8</v>
      </c>
      <c r="Q42">
        <v>349.9</v>
      </c>
      <c r="R42">
        <v>350</v>
      </c>
      <c r="S42">
        <v>350</v>
      </c>
      <c r="T42">
        <v>350.1</v>
      </c>
      <c r="U42">
        <v>350.1</v>
      </c>
    </row>
    <row r="43" spans="1:21">
      <c r="A43">
        <v>31</v>
      </c>
      <c r="B43">
        <v>31</v>
      </c>
      <c r="C43">
        <v>349.7</v>
      </c>
      <c r="D43">
        <v>349.7</v>
      </c>
      <c r="E43">
        <v>349.8</v>
      </c>
      <c r="F43">
        <v>349.9</v>
      </c>
      <c r="G43">
        <v>349.9</v>
      </c>
      <c r="H43">
        <v>350</v>
      </c>
      <c r="I43">
        <v>350.1</v>
      </c>
      <c r="J43">
        <v>350.1</v>
      </c>
      <c r="K43">
        <v>350.2</v>
      </c>
      <c r="L43">
        <v>350.3</v>
      </c>
      <c r="M43">
        <v>350.3</v>
      </c>
      <c r="N43">
        <v>350.4</v>
      </c>
      <c r="O43">
        <v>350.5</v>
      </c>
      <c r="P43">
        <v>350.5</v>
      </c>
      <c r="Q43">
        <v>350.6</v>
      </c>
      <c r="R43">
        <v>350.7</v>
      </c>
      <c r="S43">
        <v>350.7</v>
      </c>
      <c r="T43">
        <v>350.8</v>
      </c>
      <c r="U43">
        <v>350.8</v>
      </c>
    </row>
    <row r="44" spans="1:21">
      <c r="A44">
        <v>32</v>
      </c>
      <c r="B44">
        <v>32</v>
      </c>
      <c r="C44">
        <v>350.2</v>
      </c>
      <c r="D44">
        <v>350.3</v>
      </c>
      <c r="E44">
        <v>350.4</v>
      </c>
      <c r="F44">
        <v>350.4</v>
      </c>
      <c r="G44">
        <v>350.5</v>
      </c>
      <c r="H44">
        <v>350.6</v>
      </c>
      <c r="I44">
        <v>350.7</v>
      </c>
      <c r="J44">
        <v>350.7</v>
      </c>
      <c r="K44">
        <v>350.8</v>
      </c>
      <c r="L44">
        <v>350.9</v>
      </c>
      <c r="M44">
        <v>351</v>
      </c>
      <c r="N44">
        <v>351</v>
      </c>
      <c r="O44">
        <v>351.1</v>
      </c>
      <c r="P44">
        <v>351.2</v>
      </c>
      <c r="Q44">
        <v>351.3</v>
      </c>
      <c r="R44">
        <v>351.3</v>
      </c>
      <c r="S44">
        <v>351.4</v>
      </c>
      <c r="T44">
        <v>351.5</v>
      </c>
      <c r="U44">
        <v>351.6</v>
      </c>
    </row>
    <row r="45" spans="1:21">
      <c r="A45">
        <v>33</v>
      </c>
      <c r="B45">
        <v>33</v>
      </c>
      <c r="C45">
        <v>350.8</v>
      </c>
      <c r="D45">
        <v>350.9</v>
      </c>
      <c r="E45">
        <v>351</v>
      </c>
      <c r="F45">
        <v>351</v>
      </c>
      <c r="G45">
        <v>351.1</v>
      </c>
      <c r="H45">
        <v>351.2</v>
      </c>
      <c r="I45">
        <v>351.3</v>
      </c>
      <c r="J45">
        <v>351.4</v>
      </c>
      <c r="K45">
        <v>351.5</v>
      </c>
      <c r="L45">
        <v>351.6</v>
      </c>
      <c r="M45">
        <v>351.6</v>
      </c>
      <c r="N45">
        <v>351.7</v>
      </c>
      <c r="O45">
        <v>351.8</v>
      </c>
      <c r="P45">
        <v>351.9</v>
      </c>
      <c r="Q45">
        <v>352</v>
      </c>
      <c r="R45">
        <v>352.1</v>
      </c>
      <c r="S45">
        <v>352.1</v>
      </c>
      <c r="T45">
        <v>352.2</v>
      </c>
      <c r="U45">
        <v>352.3</v>
      </c>
    </row>
    <row r="46" spans="1:21">
      <c r="A46">
        <v>34</v>
      </c>
      <c r="B46">
        <v>34</v>
      </c>
      <c r="C46">
        <v>351.4</v>
      </c>
      <c r="D46">
        <v>351.5</v>
      </c>
      <c r="E46">
        <v>351.5</v>
      </c>
      <c r="F46">
        <v>351.6</v>
      </c>
      <c r="G46">
        <v>351.7</v>
      </c>
      <c r="H46">
        <v>351.8</v>
      </c>
      <c r="I46">
        <v>351.9</v>
      </c>
      <c r="J46">
        <v>352</v>
      </c>
      <c r="K46">
        <v>352.1</v>
      </c>
      <c r="L46">
        <v>352.2</v>
      </c>
      <c r="M46">
        <v>352.3</v>
      </c>
      <c r="N46">
        <v>352.4</v>
      </c>
      <c r="O46">
        <v>352.5</v>
      </c>
      <c r="P46">
        <v>352.6</v>
      </c>
      <c r="Q46">
        <v>352.7</v>
      </c>
      <c r="R46">
        <v>352.8</v>
      </c>
      <c r="S46">
        <v>352.9</v>
      </c>
      <c r="T46">
        <v>353</v>
      </c>
      <c r="U46">
        <v>353.1</v>
      </c>
    </row>
    <row r="47" spans="1:21">
      <c r="A47">
        <v>35</v>
      </c>
      <c r="B47">
        <v>35</v>
      </c>
      <c r="C47">
        <v>351.9</v>
      </c>
      <c r="D47">
        <v>352</v>
      </c>
      <c r="E47">
        <v>352.1</v>
      </c>
      <c r="F47">
        <v>352.2</v>
      </c>
      <c r="G47">
        <v>352.4</v>
      </c>
      <c r="H47">
        <v>352.5</v>
      </c>
      <c r="I47">
        <v>352.6</v>
      </c>
      <c r="J47">
        <v>352.7</v>
      </c>
      <c r="K47">
        <v>352.8</v>
      </c>
      <c r="L47">
        <v>352.9</v>
      </c>
      <c r="M47">
        <v>353</v>
      </c>
      <c r="N47">
        <v>353.1</v>
      </c>
      <c r="O47">
        <v>353.2</v>
      </c>
      <c r="P47">
        <v>353.3</v>
      </c>
      <c r="Q47">
        <v>353.4</v>
      </c>
      <c r="R47">
        <v>353.5</v>
      </c>
      <c r="S47">
        <v>353.6</v>
      </c>
      <c r="T47">
        <v>353.7</v>
      </c>
      <c r="U47">
        <v>353.8</v>
      </c>
    </row>
    <row r="48" spans="1:21">
      <c r="A48">
        <v>36</v>
      </c>
      <c r="B48">
        <v>36</v>
      </c>
      <c r="C48">
        <v>352.5</v>
      </c>
      <c r="D48">
        <v>352.6</v>
      </c>
      <c r="E48">
        <v>352.7</v>
      </c>
      <c r="F48">
        <v>352.8</v>
      </c>
      <c r="G48">
        <v>353</v>
      </c>
      <c r="H48">
        <v>353.1</v>
      </c>
      <c r="I48">
        <v>353.2</v>
      </c>
      <c r="J48">
        <v>353.3</v>
      </c>
      <c r="K48">
        <v>353.4</v>
      </c>
      <c r="L48">
        <v>353.6</v>
      </c>
      <c r="M48">
        <v>353.7</v>
      </c>
      <c r="N48">
        <v>353.8</v>
      </c>
      <c r="O48">
        <v>353.9</v>
      </c>
      <c r="P48">
        <v>354</v>
      </c>
      <c r="Q48">
        <v>354.2</v>
      </c>
      <c r="R48">
        <v>354.3</v>
      </c>
      <c r="S48">
        <v>354.4</v>
      </c>
      <c r="T48">
        <v>354.5</v>
      </c>
      <c r="U48">
        <v>354.6</v>
      </c>
    </row>
    <row r="49" spans="1:21">
      <c r="A49">
        <v>37</v>
      </c>
      <c r="B49">
        <v>37</v>
      </c>
      <c r="C49">
        <v>353.1</v>
      </c>
      <c r="D49">
        <v>353.2</v>
      </c>
      <c r="E49">
        <v>353.3</v>
      </c>
      <c r="F49">
        <v>353.5</v>
      </c>
      <c r="G49">
        <v>353.6</v>
      </c>
      <c r="H49">
        <v>353.7</v>
      </c>
      <c r="I49">
        <v>353.9</v>
      </c>
      <c r="J49">
        <v>354</v>
      </c>
      <c r="K49">
        <v>354.1</v>
      </c>
      <c r="L49">
        <v>354.3</v>
      </c>
      <c r="M49">
        <v>354.4</v>
      </c>
      <c r="N49">
        <v>354.5</v>
      </c>
      <c r="O49">
        <v>354.7</v>
      </c>
      <c r="P49">
        <v>354.8</v>
      </c>
      <c r="Q49">
        <v>354.9</v>
      </c>
      <c r="R49">
        <v>355.1</v>
      </c>
      <c r="S49">
        <v>355.2</v>
      </c>
      <c r="T49">
        <v>355.3</v>
      </c>
      <c r="U49">
        <v>355.5</v>
      </c>
    </row>
    <row r="50" spans="1:21">
      <c r="A50">
        <v>38</v>
      </c>
      <c r="B50">
        <v>38</v>
      </c>
      <c r="C50">
        <v>353.6</v>
      </c>
      <c r="D50">
        <v>353.8</v>
      </c>
      <c r="E50">
        <v>353.9</v>
      </c>
      <c r="F50">
        <v>354.1</v>
      </c>
      <c r="G50">
        <v>354.2</v>
      </c>
      <c r="H50">
        <v>354.4</v>
      </c>
      <c r="I50">
        <v>354.5</v>
      </c>
      <c r="J50">
        <v>354.7</v>
      </c>
      <c r="K50">
        <v>354.8</v>
      </c>
      <c r="L50">
        <v>355</v>
      </c>
      <c r="M50">
        <v>355.1</v>
      </c>
      <c r="N50">
        <v>355.3</v>
      </c>
      <c r="O50">
        <v>355.4</v>
      </c>
      <c r="P50">
        <v>355.6</v>
      </c>
      <c r="Q50">
        <v>355.7</v>
      </c>
      <c r="R50">
        <v>355.8</v>
      </c>
      <c r="S50">
        <v>356</v>
      </c>
      <c r="T50">
        <v>356.1</v>
      </c>
      <c r="U50">
        <v>356.3</v>
      </c>
    </row>
    <row r="51" spans="1:21">
      <c r="A51">
        <v>39</v>
      </c>
      <c r="B51">
        <v>39</v>
      </c>
      <c r="C51">
        <v>354.2</v>
      </c>
      <c r="D51">
        <v>354.3</v>
      </c>
      <c r="E51">
        <v>354.5</v>
      </c>
      <c r="F51">
        <v>354.7</v>
      </c>
      <c r="G51">
        <v>354.8</v>
      </c>
      <c r="H51">
        <v>355</v>
      </c>
      <c r="I51">
        <v>355.2</v>
      </c>
      <c r="J51">
        <v>355.3</v>
      </c>
      <c r="K51">
        <v>355.5</v>
      </c>
      <c r="L51">
        <v>355.7</v>
      </c>
      <c r="M51">
        <v>355.8</v>
      </c>
      <c r="N51">
        <v>356</v>
      </c>
      <c r="O51">
        <v>356.2</v>
      </c>
      <c r="P51">
        <v>356.3</v>
      </c>
      <c r="Q51">
        <v>356.5</v>
      </c>
      <c r="R51">
        <v>356.7</v>
      </c>
      <c r="S51">
        <v>356.8</v>
      </c>
      <c r="T51">
        <v>357</v>
      </c>
      <c r="U51">
        <v>357.2</v>
      </c>
    </row>
    <row r="52" spans="1:21">
      <c r="A52">
        <v>40</v>
      </c>
      <c r="B52">
        <v>40</v>
      </c>
      <c r="C52">
        <v>354.7</v>
      </c>
      <c r="D52">
        <v>354.9</v>
      </c>
      <c r="E52">
        <v>355.1</v>
      </c>
      <c r="F52">
        <v>355.3</v>
      </c>
      <c r="G52">
        <v>355.5</v>
      </c>
      <c r="H52">
        <v>355.7</v>
      </c>
      <c r="I52">
        <v>355.8</v>
      </c>
      <c r="J52">
        <v>356</v>
      </c>
      <c r="K52">
        <v>356.2</v>
      </c>
      <c r="L52">
        <v>356.4</v>
      </c>
      <c r="M52">
        <v>356.6</v>
      </c>
      <c r="N52">
        <v>356.8</v>
      </c>
      <c r="O52">
        <v>356.9</v>
      </c>
      <c r="P52">
        <v>357.1</v>
      </c>
      <c r="Q52">
        <v>357.3</v>
      </c>
      <c r="R52">
        <v>357.5</v>
      </c>
      <c r="S52">
        <v>357.7</v>
      </c>
      <c r="T52">
        <v>357.9</v>
      </c>
      <c r="U52">
        <v>358</v>
      </c>
    </row>
    <row r="53" spans="1:21">
      <c r="A53">
        <v>41</v>
      </c>
      <c r="B53">
        <v>41</v>
      </c>
      <c r="C53">
        <v>355.3</v>
      </c>
      <c r="D53">
        <v>355.5</v>
      </c>
      <c r="E53">
        <v>355.7</v>
      </c>
      <c r="F53">
        <v>355.9</v>
      </c>
      <c r="G53">
        <v>356.1</v>
      </c>
      <c r="H53">
        <v>356.3</v>
      </c>
      <c r="I53">
        <v>356.5</v>
      </c>
      <c r="J53">
        <v>356.7</v>
      </c>
      <c r="K53">
        <v>356.9</v>
      </c>
      <c r="L53">
        <v>357.1</v>
      </c>
      <c r="M53">
        <v>357.3</v>
      </c>
      <c r="N53">
        <v>357.5</v>
      </c>
      <c r="O53">
        <v>357.8</v>
      </c>
      <c r="P53">
        <v>358</v>
      </c>
      <c r="Q53">
        <v>358.2</v>
      </c>
      <c r="R53">
        <v>358.4</v>
      </c>
      <c r="S53">
        <v>358.6</v>
      </c>
      <c r="T53">
        <v>358.8</v>
      </c>
      <c r="U53">
        <v>359</v>
      </c>
    </row>
    <row r="54" spans="1:21">
      <c r="A54">
        <v>42</v>
      </c>
      <c r="B54">
        <v>42</v>
      </c>
      <c r="C54">
        <v>355.9</v>
      </c>
      <c r="D54">
        <v>356.1</v>
      </c>
      <c r="E54">
        <v>356.3</v>
      </c>
      <c r="F54">
        <v>356.5</v>
      </c>
      <c r="G54">
        <v>356.8</v>
      </c>
      <c r="H54">
        <v>357</v>
      </c>
      <c r="I54">
        <v>357.2</v>
      </c>
      <c r="J54">
        <v>357.4</v>
      </c>
      <c r="K54">
        <v>357.7</v>
      </c>
      <c r="L54">
        <v>357.9</v>
      </c>
      <c r="M54">
        <v>358.1</v>
      </c>
      <c r="N54">
        <v>358.3</v>
      </c>
      <c r="O54">
        <v>358.6</v>
      </c>
      <c r="P54">
        <v>358.8</v>
      </c>
      <c r="Q54">
        <v>359</v>
      </c>
      <c r="R54">
        <v>359.2</v>
      </c>
      <c r="S54">
        <v>359.5</v>
      </c>
      <c r="T54">
        <v>359.7</v>
      </c>
      <c r="U54">
        <v>359.9</v>
      </c>
    </row>
    <row r="55" spans="1:21">
      <c r="A55">
        <v>43</v>
      </c>
      <c r="B55">
        <v>43</v>
      </c>
      <c r="C55">
        <v>356.4</v>
      </c>
      <c r="D55">
        <v>356.7</v>
      </c>
      <c r="E55">
        <v>356.9</v>
      </c>
      <c r="F55">
        <v>357.2</v>
      </c>
      <c r="G55">
        <v>357.4</v>
      </c>
      <c r="H55">
        <v>357.7</v>
      </c>
      <c r="I55">
        <v>357.9</v>
      </c>
      <c r="J55">
        <v>358.2</v>
      </c>
      <c r="K55">
        <v>358.4</v>
      </c>
      <c r="L55">
        <v>358.7</v>
      </c>
      <c r="M55">
        <v>358.9</v>
      </c>
      <c r="N55">
        <v>359.2</v>
      </c>
      <c r="O55">
        <v>359.4</v>
      </c>
      <c r="P55">
        <v>359.7</v>
      </c>
      <c r="Q55">
        <v>359.9</v>
      </c>
      <c r="R55">
        <v>360.2</v>
      </c>
      <c r="S55">
        <v>360.4</v>
      </c>
      <c r="T55">
        <v>360.7</v>
      </c>
      <c r="U55">
        <v>360.9</v>
      </c>
    </row>
    <row r="56" spans="1:21">
      <c r="A56">
        <v>44</v>
      </c>
      <c r="B56">
        <v>44</v>
      </c>
      <c r="C56">
        <v>357</v>
      </c>
      <c r="D56">
        <v>357.3</v>
      </c>
      <c r="E56">
        <v>357.5</v>
      </c>
      <c r="F56">
        <v>357.8</v>
      </c>
      <c r="G56">
        <v>358.1</v>
      </c>
      <c r="H56">
        <v>358.4</v>
      </c>
      <c r="I56">
        <v>358.6</v>
      </c>
      <c r="J56">
        <v>358.9</v>
      </c>
      <c r="K56">
        <v>359.2</v>
      </c>
      <c r="L56">
        <v>359.5</v>
      </c>
      <c r="M56">
        <v>359.7</v>
      </c>
      <c r="N56">
        <v>360</v>
      </c>
      <c r="O56">
        <v>360.3</v>
      </c>
      <c r="P56">
        <v>360.6</v>
      </c>
      <c r="Q56">
        <v>360.8</v>
      </c>
      <c r="R56">
        <v>361.1</v>
      </c>
      <c r="S56">
        <v>361.4</v>
      </c>
      <c r="T56">
        <v>361.7</v>
      </c>
      <c r="U56">
        <v>361.9</v>
      </c>
    </row>
    <row r="57" spans="1:21">
      <c r="A57">
        <v>45</v>
      </c>
      <c r="B57">
        <v>45</v>
      </c>
      <c r="C57">
        <v>357.5</v>
      </c>
      <c r="D57">
        <v>357.8</v>
      </c>
      <c r="E57">
        <v>358.1</v>
      </c>
      <c r="F57">
        <v>358.4</v>
      </c>
      <c r="G57">
        <v>358.8</v>
      </c>
      <c r="H57">
        <v>359.1</v>
      </c>
      <c r="I57">
        <v>359.4</v>
      </c>
      <c r="J57">
        <v>359.7</v>
      </c>
      <c r="K57">
        <v>360</v>
      </c>
      <c r="L57">
        <v>360.3</v>
      </c>
      <c r="M57">
        <v>360.6</v>
      </c>
      <c r="N57">
        <v>360.9</v>
      </c>
      <c r="O57">
        <v>361.2</v>
      </c>
      <c r="P57">
        <v>361.5</v>
      </c>
      <c r="Q57">
        <v>361.8</v>
      </c>
      <c r="R57">
        <v>362.1</v>
      </c>
      <c r="S57">
        <v>362.4</v>
      </c>
      <c r="T57">
        <v>362.7</v>
      </c>
      <c r="U57">
        <v>363</v>
      </c>
    </row>
    <row r="58" spans="1:21">
      <c r="A58">
        <v>46</v>
      </c>
      <c r="B58">
        <v>46</v>
      </c>
      <c r="C58">
        <v>358.1</v>
      </c>
      <c r="D58">
        <v>358.4</v>
      </c>
      <c r="E58">
        <v>358.8</v>
      </c>
      <c r="F58">
        <v>359.1</v>
      </c>
      <c r="G58">
        <v>359.4</v>
      </c>
      <c r="H58">
        <v>359.8</v>
      </c>
      <c r="I58">
        <v>360.1</v>
      </c>
      <c r="J58">
        <v>360.4</v>
      </c>
      <c r="K58">
        <v>360.8</v>
      </c>
      <c r="L58">
        <v>361.1</v>
      </c>
      <c r="M58">
        <v>361.4</v>
      </c>
      <c r="N58">
        <v>361.8</v>
      </c>
      <c r="O58">
        <v>362.1</v>
      </c>
      <c r="P58">
        <v>362.4</v>
      </c>
      <c r="Q58">
        <v>362.8</v>
      </c>
      <c r="R58">
        <v>363.1</v>
      </c>
      <c r="S58">
        <v>363.4</v>
      </c>
      <c r="T58">
        <v>363.8</v>
      </c>
      <c r="U58">
        <v>364.1</v>
      </c>
    </row>
    <row r="59" spans="1:21">
      <c r="A59">
        <v>47</v>
      </c>
      <c r="B59">
        <v>47</v>
      </c>
      <c r="C59">
        <v>358.6</v>
      </c>
      <c r="D59">
        <v>359</v>
      </c>
      <c r="E59">
        <v>359.4</v>
      </c>
      <c r="F59">
        <v>359.7</v>
      </c>
      <c r="G59">
        <v>360.1</v>
      </c>
      <c r="H59">
        <v>360.5</v>
      </c>
      <c r="I59">
        <v>360.9</v>
      </c>
      <c r="J59">
        <v>361.2</v>
      </c>
      <c r="K59">
        <v>361.6</v>
      </c>
      <c r="L59">
        <v>362</v>
      </c>
      <c r="M59">
        <v>362.3</v>
      </c>
      <c r="N59">
        <v>362.7</v>
      </c>
      <c r="O59">
        <v>363.1</v>
      </c>
      <c r="P59">
        <v>363.4</v>
      </c>
      <c r="Q59">
        <v>363.8</v>
      </c>
      <c r="R59">
        <v>364.2</v>
      </c>
      <c r="S59">
        <v>364.5</v>
      </c>
      <c r="T59">
        <v>364.9</v>
      </c>
      <c r="U59">
        <v>365.3</v>
      </c>
    </row>
    <row r="60" spans="1:21">
      <c r="A60">
        <v>48</v>
      </c>
      <c r="B60">
        <v>48</v>
      </c>
      <c r="C60">
        <v>359.2</v>
      </c>
      <c r="D60">
        <v>359.6</v>
      </c>
      <c r="E60">
        <v>360</v>
      </c>
      <c r="F60">
        <v>360.4</v>
      </c>
      <c r="G60">
        <v>360.8</v>
      </c>
      <c r="H60">
        <v>361.2</v>
      </c>
      <c r="I60">
        <v>361.6</v>
      </c>
      <c r="J60">
        <v>362</v>
      </c>
      <c r="K60">
        <v>362.4</v>
      </c>
      <c r="L60">
        <v>362.8</v>
      </c>
      <c r="M60">
        <v>363.2</v>
      </c>
      <c r="N60">
        <v>363.6</v>
      </c>
      <c r="O60">
        <v>364</v>
      </c>
      <c r="P60">
        <v>364.4</v>
      </c>
      <c r="Q60">
        <v>364.8</v>
      </c>
      <c r="R60">
        <v>365.2</v>
      </c>
      <c r="S60">
        <v>365.6</v>
      </c>
      <c r="T60">
        <v>366</v>
      </c>
      <c r="U60">
        <v>366.5</v>
      </c>
    </row>
    <row r="61" spans="1:21">
      <c r="A61">
        <v>49</v>
      </c>
      <c r="B61">
        <v>49</v>
      </c>
      <c r="C61">
        <v>359.7</v>
      </c>
      <c r="D61">
        <v>360.2</v>
      </c>
      <c r="E61">
        <v>360.6</v>
      </c>
      <c r="F61">
        <v>361.1</v>
      </c>
      <c r="G61">
        <v>361.5</v>
      </c>
      <c r="H61">
        <v>362</v>
      </c>
      <c r="I61">
        <v>362.4</v>
      </c>
      <c r="J61">
        <v>362.9</v>
      </c>
      <c r="K61">
        <v>363.3</v>
      </c>
      <c r="L61">
        <v>363.7</v>
      </c>
      <c r="M61">
        <v>364.2</v>
      </c>
      <c r="N61">
        <v>364.6</v>
      </c>
      <c r="O61">
        <v>365.1</v>
      </c>
      <c r="P61">
        <v>365.5</v>
      </c>
      <c r="Q61">
        <v>365.9</v>
      </c>
      <c r="R61">
        <v>366.4</v>
      </c>
      <c r="S61">
        <v>366.8</v>
      </c>
      <c r="T61">
        <v>367.3</v>
      </c>
      <c r="U61">
        <v>367.7</v>
      </c>
    </row>
    <row r="62" spans="1:21">
      <c r="A62">
        <v>50</v>
      </c>
      <c r="B62">
        <v>50</v>
      </c>
      <c r="C62">
        <v>360.3</v>
      </c>
      <c r="D62">
        <v>360.8</v>
      </c>
      <c r="E62">
        <v>361.3</v>
      </c>
      <c r="F62">
        <v>361.8</v>
      </c>
      <c r="G62">
        <v>362.2</v>
      </c>
      <c r="H62">
        <v>362.7</v>
      </c>
      <c r="I62">
        <v>363.2</v>
      </c>
      <c r="J62">
        <v>363.7</v>
      </c>
      <c r="K62">
        <v>364.2</v>
      </c>
      <c r="L62">
        <v>364.7</v>
      </c>
      <c r="M62">
        <v>365.2</v>
      </c>
      <c r="N62">
        <v>365.6</v>
      </c>
      <c r="O62">
        <v>366.1</v>
      </c>
      <c r="P62">
        <v>366.6</v>
      </c>
      <c r="Q62">
        <v>367.1</v>
      </c>
      <c r="R62">
        <v>367.6</v>
      </c>
      <c r="S62">
        <v>368</v>
      </c>
      <c r="T62">
        <v>368.5</v>
      </c>
      <c r="U62">
        <v>369</v>
      </c>
    </row>
    <row r="64" spans="1:21">
      <c r="C64" t="s">
        <v>4</v>
      </c>
      <c r="D64" t="s">
        <v>5</v>
      </c>
      <c r="E64" t="s">
        <v>6</v>
      </c>
      <c r="F64" t="s">
        <v>7</v>
      </c>
      <c r="G64" t="s">
        <v>8</v>
      </c>
    </row>
    <row r="65" spans="1:22">
      <c r="B65" s="1" t="s">
        <v>11</v>
      </c>
      <c r="C65" s="1">
        <v>330.89662064956275</v>
      </c>
      <c r="D65" s="1">
        <v>0.54056695605999494</v>
      </c>
      <c r="E65" s="1">
        <v>1.7755076392564084E-3</v>
      </c>
      <c r="F65" s="1">
        <v>9.4320992626353746E-3</v>
      </c>
      <c r="G65" s="1">
        <v>-2.9848941095141329E-5</v>
      </c>
    </row>
    <row r="66" spans="1:22">
      <c r="B66" t="s">
        <v>10</v>
      </c>
    </row>
    <row r="67" spans="1:22">
      <c r="A67">
        <v>0</v>
      </c>
      <c r="B67">
        <v>0</v>
      </c>
      <c r="C67">
        <f>$C$65+$D$65*$A12+$E$65*($A12^2)+$F$65*C$11+$G$65*(C$11^2)</f>
        <v>330.89662064956275</v>
      </c>
      <c r="D67">
        <f t="shared" ref="D67:V81" si="0">$C$65+$D$65*$A12+$E$65*($A12^2)+$F$65*D$11+$G$65*(D$11^2)</f>
        <v>330.94303492234855</v>
      </c>
      <c r="E67">
        <f t="shared" si="0"/>
        <v>330.98795674807963</v>
      </c>
      <c r="F67">
        <f t="shared" si="0"/>
        <v>331.03138612675588</v>
      </c>
      <c r="G67">
        <f t="shared" si="0"/>
        <v>331.07332305837741</v>
      </c>
      <c r="H67">
        <f t="shared" si="0"/>
        <v>331.11376754294417</v>
      </c>
      <c r="I67">
        <f t="shared" si="0"/>
        <v>331.15271958045616</v>
      </c>
      <c r="J67">
        <f t="shared" si="0"/>
        <v>331.19017917091344</v>
      </c>
      <c r="K67">
        <f t="shared" si="0"/>
        <v>331.22614631431594</v>
      </c>
      <c r="L67">
        <f t="shared" si="0"/>
        <v>331.26062101066373</v>
      </c>
      <c r="M67">
        <f t="shared" si="0"/>
        <v>331.29360325995668</v>
      </c>
      <c r="N67">
        <f t="shared" si="0"/>
        <v>331.32509306219487</v>
      </c>
      <c r="O67">
        <f t="shared" si="0"/>
        <v>331.35509041737839</v>
      </c>
      <c r="P67">
        <f t="shared" si="0"/>
        <v>331.38359532550709</v>
      </c>
      <c r="Q67">
        <f t="shared" si="0"/>
        <v>331.41060778658107</v>
      </c>
      <c r="R67">
        <f t="shared" si="0"/>
        <v>331.43612780060022</v>
      </c>
      <c r="S67">
        <f t="shared" si="0"/>
        <v>331.46015536756465</v>
      </c>
      <c r="T67">
        <f t="shared" si="0"/>
        <v>331.48269048747437</v>
      </c>
      <c r="U67">
        <f t="shared" si="0"/>
        <v>331.50373316032926</v>
      </c>
      <c r="V67">
        <f t="shared" si="0"/>
        <v>330.89662064956275</v>
      </c>
    </row>
    <row r="68" spans="1:22">
      <c r="A68">
        <v>1</v>
      </c>
      <c r="B68">
        <v>1</v>
      </c>
      <c r="C68">
        <f t="shared" ref="C68:R117" si="1">$C$65+$D$65*$A13+$E$65*($A13^2)+$F$65*C$11+$G$65*(C$11^2)</f>
        <v>331.43896311326199</v>
      </c>
      <c r="D68">
        <f t="shared" si="1"/>
        <v>331.48537738604779</v>
      </c>
      <c r="E68">
        <f t="shared" si="1"/>
        <v>331.53029921177887</v>
      </c>
      <c r="F68">
        <f t="shared" si="1"/>
        <v>331.57372859045512</v>
      </c>
      <c r="G68">
        <f t="shared" si="1"/>
        <v>331.61566552207665</v>
      </c>
      <c r="H68">
        <f t="shared" si="1"/>
        <v>331.65611000664342</v>
      </c>
      <c r="I68">
        <f t="shared" si="1"/>
        <v>331.69506204415541</v>
      </c>
      <c r="J68">
        <f t="shared" si="1"/>
        <v>331.73252163461268</v>
      </c>
      <c r="K68">
        <f t="shared" si="1"/>
        <v>331.76848877801518</v>
      </c>
      <c r="L68">
        <f t="shared" si="1"/>
        <v>331.80296347436297</v>
      </c>
      <c r="M68">
        <f t="shared" si="1"/>
        <v>331.83594572365593</v>
      </c>
      <c r="N68">
        <f t="shared" si="1"/>
        <v>331.86743552589411</v>
      </c>
      <c r="O68">
        <f t="shared" si="1"/>
        <v>331.89743288107763</v>
      </c>
      <c r="P68">
        <f t="shared" si="1"/>
        <v>331.92593778920633</v>
      </c>
      <c r="Q68">
        <f t="shared" si="1"/>
        <v>331.95295025028031</v>
      </c>
      <c r="R68">
        <f t="shared" si="1"/>
        <v>331.97847026429946</v>
      </c>
      <c r="S68">
        <f t="shared" si="0"/>
        <v>332.0024978312639</v>
      </c>
      <c r="T68">
        <f t="shared" si="0"/>
        <v>332.02503295117361</v>
      </c>
      <c r="U68">
        <f t="shared" si="0"/>
        <v>332.0460756240285</v>
      </c>
      <c r="V68">
        <f t="shared" si="0"/>
        <v>331.43896311326199</v>
      </c>
    </row>
    <row r="69" spans="1:22">
      <c r="A69">
        <v>2</v>
      </c>
      <c r="B69">
        <v>2</v>
      </c>
      <c r="C69">
        <f t="shared" si="1"/>
        <v>331.98485659223974</v>
      </c>
      <c r="D69">
        <f t="shared" si="0"/>
        <v>332.03127086502553</v>
      </c>
      <c r="E69">
        <f t="shared" si="0"/>
        <v>332.07619269075661</v>
      </c>
      <c r="F69">
        <f t="shared" si="0"/>
        <v>332.11962206943286</v>
      </c>
      <c r="G69">
        <f t="shared" si="0"/>
        <v>332.1615590010544</v>
      </c>
      <c r="H69">
        <f t="shared" si="0"/>
        <v>332.20200348562116</v>
      </c>
      <c r="I69">
        <f t="shared" si="0"/>
        <v>332.24095552313315</v>
      </c>
      <c r="J69">
        <f t="shared" si="0"/>
        <v>332.27841511359043</v>
      </c>
      <c r="K69">
        <f t="shared" si="0"/>
        <v>332.31438225699293</v>
      </c>
      <c r="L69">
        <f t="shared" si="0"/>
        <v>332.34885695334071</v>
      </c>
      <c r="M69">
        <f t="shared" si="0"/>
        <v>332.38183920263367</v>
      </c>
      <c r="N69">
        <f t="shared" si="0"/>
        <v>332.41332900487185</v>
      </c>
      <c r="O69">
        <f t="shared" si="0"/>
        <v>332.44332636005538</v>
      </c>
      <c r="P69">
        <f t="shared" si="0"/>
        <v>332.47183126818408</v>
      </c>
      <c r="Q69">
        <f t="shared" si="0"/>
        <v>332.49884372925806</v>
      </c>
      <c r="R69">
        <f t="shared" si="0"/>
        <v>332.52436374327721</v>
      </c>
      <c r="S69">
        <f t="shared" si="0"/>
        <v>332.54839131024164</v>
      </c>
      <c r="T69">
        <f t="shared" si="0"/>
        <v>332.57092643015136</v>
      </c>
      <c r="U69">
        <f t="shared" si="0"/>
        <v>332.59196910300625</v>
      </c>
      <c r="V69">
        <f t="shared" si="0"/>
        <v>331.98485659223974</v>
      </c>
    </row>
    <row r="70" spans="1:22">
      <c r="A70">
        <v>3</v>
      </c>
      <c r="B70">
        <v>3</v>
      </c>
      <c r="C70">
        <f t="shared" si="1"/>
        <v>332.53430108649604</v>
      </c>
      <c r="D70">
        <f t="shared" si="0"/>
        <v>332.58071535928184</v>
      </c>
      <c r="E70">
        <f t="shared" si="0"/>
        <v>332.62563718501292</v>
      </c>
      <c r="F70">
        <f t="shared" si="0"/>
        <v>332.66906656368917</v>
      </c>
      <c r="G70">
        <f t="shared" si="0"/>
        <v>332.71100349531071</v>
      </c>
      <c r="H70">
        <f t="shared" si="0"/>
        <v>332.75144797987747</v>
      </c>
      <c r="I70">
        <f t="shared" si="0"/>
        <v>332.79040001738946</v>
      </c>
      <c r="J70">
        <f t="shared" si="0"/>
        <v>332.82785960784673</v>
      </c>
      <c r="K70">
        <f t="shared" si="0"/>
        <v>332.86382675124923</v>
      </c>
      <c r="L70">
        <f t="shared" si="0"/>
        <v>332.89830144759702</v>
      </c>
      <c r="M70">
        <f t="shared" si="0"/>
        <v>332.93128369688998</v>
      </c>
      <c r="N70">
        <f t="shared" si="0"/>
        <v>332.96277349912816</v>
      </c>
      <c r="O70">
        <f t="shared" si="0"/>
        <v>332.99277085431169</v>
      </c>
      <c r="P70">
        <f t="shared" si="0"/>
        <v>333.02127576244038</v>
      </c>
      <c r="Q70">
        <f t="shared" si="0"/>
        <v>333.04828822351436</v>
      </c>
      <c r="R70">
        <f t="shared" si="0"/>
        <v>333.07380823753351</v>
      </c>
      <c r="S70">
        <f t="shared" si="0"/>
        <v>333.09783580449795</v>
      </c>
      <c r="T70">
        <f t="shared" si="0"/>
        <v>333.12037092440767</v>
      </c>
      <c r="U70">
        <f t="shared" si="0"/>
        <v>333.14141359726256</v>
      </c>
      <c r="V70">
        <f t="shared" si="0"/>
        <v>332.53430108649604</v>
      </c>
    </row>
    <row r="71" spans="1:22">
      <c r="A71">
        <v>4</v>
      </c>
      <c r="B71">
        <v>4</v>
      </c>
      <c r="C71">
        <f t="shared" si="1"/>
        <v>333.0872965960308</v>
      </c>
      <c r="D71">
        <f t="shared" si="0"/>
        <v>333.13371086881659</v>
      </c>
      <c r="E71">
        <f t="shared" si="0"/>
        <v>333.17863269454767</v>
      </c>
      <c r="F71">
        <f t="shared" si="0"/>
        <v>333.22206207322392</v>
      </c>
      <c r="G71">
        <f t="shared" si="0"/>
        <v>333.26399900484546</v>
      </c>
      <c r="H71">
        <f t="shared" si="0"/>
        <v>333.30444348941222</v>
      </c>
      <c r="I71">
        <f t="shared" si="0"/>
        <v>333.34339552692421</v>
      </c>
      <c r="J71">
        <f t="shared" si="0"/>
        <v>333.38085511738149</v>
      </c>
      <c r="K71">
        <f t="shared" si="0"/>
        <v>333.41682226078399</v>
      </c>
      <c r="L71">
        <f t="shared" si="0"/>
        <v>333.45129695713177</v>
      </c>
      <c r="M71">
        <f t="shared" si="0"/>
        <v>333.48427920642473</v>
      </c>
      <c r="N71">
        <f t="shared" si="0"/>
        <v>333.51576900866291</v>
      </c>
      <c r="O71">
        <f t="shared" si="0"/>
        <v>333.54576636384644</v>
      </c>
      <c r="P71">
        <f t="shared" si="0"/>
        <v>333.57427127197514</v>
      </c>
      <c r="Q71">
        <f t="shared" si="0"/>
        <v>333.60128373304912</v>
      </c>
      <c r="R71">
        <f t="shared" si="0"/>
        <v>333.62680374706827</v>
      </c>
      <c r="S71">
        <f t="shared" si="0"/>
        <v>333.6508313140327</v>
      </c>
      <c r="T71">
        <f t="shared" si="0"/>
        <v>333.67336643394242</v>
      </c>
      <c r="U71">
        <f t="shared" si="0"/>
        <v>333.69440910679731</v>
      </c>
      <c r="V71">
        <f t="shared" si="0"/>
        <v>333.0872965960308</v>
      </c>
    </row>
    <row r="72" spans="1:22">
      <c r="A72">
        <v>5</v>
      </c>
      <c r="B72">
        <v>5</v>
      </c>
      <c r="C72">
        <f t="shared" si="1"/>
        <v>333.64384312084411</v>
      </c>
      <c r="D72">
        <f t="shared" si="0"/>
        <v>333.69025739362991</v>
      </c>
      <c r="E72">
        <f t="shared" si="0"/>
        <v>333.73517921936099</v>
      </c>
      <c r="F72">
        <f t="shared" si="0"/>
        <v>333.77860859803724</v>
      </c>
      <c r="G72">
        <f t="shared" si="0"/>
        <v>333.82054552965877</v>
      </c>
      <c r="H72">
        <f t="shared" si="0"/>
        <v>333.86099001422554</v>
      </c>
      <c r="I72">
        <f t="shared" si="0"/>
        <v>333.89994205173753</v>
      </c>
      <c r="J72">
        <f t="shared" si="0"/>
        <v>333.9374016421948</v>
      </c>
      <c r="K72">
        <f t="shared" si="0"/>
        <v>333.9733687855973</v>
      </c>
      <c r="L72">
        <f t="shared" si="0"/>
        <v>334.00784348194509</v>
      </c>
      <c r="M72">
        <f t="shared" si="0"/>
        <v>334.04082573123804</v>
      </c>
      <c r="N72">
        <f t="shared" si="0"/>
        <v>334.07231553347623</v>
      </c>
      <c r="O72">
        <f t="shared" si="0"/>
        <v>334.10231288865975</v>
      </c>
      <c r="P72">
        <f t="shared" si="0"/>
        <v>334.13081779678845</v>
      </c>
      <c r="Q72">
        <f t="shared" si="0"/>
        <v>334.15783025786243</v>
      </c>
      <c r="R72">
        <f t="shared" si="0"/>
        <v>334.18335027188158</v>
      </c>
      <c r="S72">
        <f t="shared" si="0"/>
        <v>334.20737783884601</v>
      </c>
      <c r="T72">
        <f t="shared" si="0"/>
        <v>334.22991295875573</v>
      </c>
      <c r="U72">
        <f t="shared" si="0"/>
        <v>334.25095563161062</v>
      </c>
      <c r="V72">
        <f t="shared" si="0"/>
        <v>333.64384312084411</v>
      </c>
    </row>
    <row r="73" spans="1:22">
      <c r="A73">
        <v>6</v>
      </c>
      <c r="B73">
        <v>6</v>
      </c>
      <c r="C73">
        <f t="shared" si="1"/>
        <v>334.20394066093593</v>
      </c>
      <c r="D73">
        <f t="shared" si="0"/>
        <v>334.25035493372172</v>
      </c>
      <c r="E73">
        <f t="shared" si="0"/>
        <v>334.2952767594528</v>
      </c>
      <c r="F73">
        <f t="shared" si="0"/>
        <v>334.33870613812906</v>
      </c>
      <c r="G73">
        <f t="shared" si="0"/>
        <v>334.38064306975059</v>
      </c>
      <c r="H73">
        <f t="shared" si="0"/>
        <v>334.42108755431735</v>
      </c>
      <c r="I73">
        <f t="shared" si="0"/>
        <v>334.46003959182934</v>
      </c>
      <c r="J73">
        <f t="shared" si="0"/>
        <v>334.49749918228662</v>
      </c>
      <c r="K73">
        <f t="shared" si="0"/>
        <v>334.53346632568912</v>
      </c>
      <c r="L73">
        <f t="shared" si="0"/>
        <v>334.5679410220369</v>
      </c>
      <c r="M73">
        <f t="shared" si="0"/>
        <v>334.60092327132986</v>
      </c>
      <c r="N73">
        <f t="shared" si="0"/>
        <v>334.63241307356805</v>
      </c>
      <c r="O73">
        <f t="shared" si="0"/>
        <v>334.66241042875157</v>
      </c>
      <c r="P73">
        <f t="shared" si="0"/>
        <v>334.69091533688027</v>
      </c>
      <c r="Q73">
        <f t="shared" si="0"/>
        <v>334.71792779795425</v>
      </c>
      <c r="R73">
        <f t="shared" si="0"/>
        <v>334.7434478119734</v>
      </c>
      <c r="S73">
        <f t="shared" si="0"/>
        <v>334.76747537893783</v>
      </c>
      <c r="T73">
        <f t="shared" si="0"/>
        <v>334.79001049884755</v>
      </c>
      <c r="U73">
        <f t="shared" si="0"/>
        <v>334.81105317170244</v>
      </c>
      <c r="V73">
        <f t="shared" si="0"/>
        <v>334.20394066093593</v>
      </c>
    </row>
    <row r="74" spans="1:22">
      <c r="A74">
        <v>7</v>
      </c>
      <c r="B74">
        <v>7</v>
      </c>
      <c r="C74">
        <f t="shared" si="1"/>
        <v>334.76758921630631</v>
      </c>
      <c r="D74">
        <f t="shared" si="0"/>
        <v>334.8140034890921</v>
      </c>
      <c r="E74">
        <f t="shared" si="0"/>
        <v>334.85892531482318</v>
      </c>
      <c r="F74">
        <f t="shared" si="0"/>
        <v>334.90235469349943</v>
      </c>
      <c r="G74">
        <f t="shared" si="0"/>
        <v>334.94429162512097</v>
      </c>
      <c r="H74">
        <f t="shared" si="0"/>
        <v>334.98473610968773</v>
      </c>
      <c r="I74">
        <f t="shared" si="0"/>
        <v>335.02368814719972</v>
      </c>
      <c r="J74">
        <f t="shared" si="0"/>
        <v>335.061147737657</v>
      </c>
      <c r="K74">
        <f t="shared" si="0"/>
        <v>335.0971148810595</v>
      </c>
      <c r="L74">
        <f t="shared" si="0"/>
        <v>335.13158957740728</v>
      </c>
      <c r="M74">
        <f t="shared" si="0"/>
        <v>335.16457182670024</v>
      </c>
      <c r="N74">
        <f t="shared" si="0"/>
        <v>335.19606162893842</v>
      </c>
      <c r="O74">
        <f t="shared" si="0"/>
        <v>335.22605898412195</v>
      </c>
      <c r="P74">
        <f t="shared" si="0"/>
        <v>335.25456389225064</v>
      </c>
      <c r="Q74">
        <f t="shared" si="0"/>
        <v>335.28157635332462</v>
      </c>
      <c r="R74">
        <f t="shared" si="0"/>
        <v>335.30709636734377</v>
      </c>
      <c r="S74">
        <f t="shared" si="0"/>
        <v>335.33112393430821</v>
      </c>
      <c r="T74">
        <f t="shared" si="0"/>
        <v>335.35365905421793</v>
      </c>
      <c r="U74">
        <f t="shared" si="0"/>
        <v>335.37470172707282</v>
      </c>
      <c r="V74">
        <f t="shared" si="0"/>
        <v>334.76758921630631</v>
      </c>
    </row>
    <row r="75" spans="1:22">
      <c r="A75">
        <v>8</v>
      </c>
      <c r="B75">
        <v>8</v>
      </c>
      <c r="C75">
        <f t="shared" si="1"/>
        <v>335.33478878695513</v>
      </c>
      <c r="D75">
        <f t="shared" si="0"/>
        <v>335.38120305974093</v>
      </c>
      <c r="E75">
        <f t="shared" si="0"/>
        <v>335.42612488547201</v>
      </c>
      <c r="F75">
        <f t="shared" si="0"/>
        <v>335.46955426414826</v>
      </c>
      <c r="G75">
        <f t="shared" si="0"/>
        <v>335.51149119576979</v>
      </c>
      <c r="H75">
        <f t="shared" si="0"/>
        <v>335.55193568033656</v>
      </c>
      <c r="I75">
        <f t="shared" si="0"/>
        <v>335.59088771784855</v>
      </c>
      <c r="J75">
        <f t="shared" si="0"/>
        <v>335.62834730830582</v>
      </c>
      <c r="K75">
        <f t="shared" si="0"/>
        <v>335.66431445170832</v>
      </c>
      <c r="L75">
        <f t="shared" si="0"/>
        <v>335.69878914805611</v>
      </c>
      <c r="M75">
        <f t="shared" si="0"/>
        <v>335.73177139734906</v>
      </c>
      <c r="N75">
        <f t="shared" si="0"/>
        <v>335.76326119958725</v>
      </c>
      <c r="O75">
        <f t="shared" si="0"/>
        <v>335.79325855477077</v>
      </c>
      <c r="P75">
        <f t="shared" si="0"/>
        <v>335.82176346289947</v>
      </c>
      <c r="Q75">
        <f t="shared" si="0"/>
        <v>335.84877592397345</v>
      </c>
      <c r="R75">
        <f t="shared" si="0"/>
        <v>335.8742959379926</v>
      </c>
      <c r="S75">
        <f t="shared" si="0"/>
        <v>335.89832350495703</v>
      </c>
      <c r="T75">
        <f t="shared" si="0"/>
        <v>335.92085862486675</v>
      </c>
      <c r="U75">
        <f t="shared" si="0"/>
        <v>335.94190129772164</v>
      </c>
      <c r="V75">
        <f t="shared" si="0"/>
        <v>335.33478878695513</v>
      </c>
    </row>
    <row r="76" spans="1:22">
      <c r="A76">
        <v>9</v>
      </c>
      <c r="B76">
        <v>9</v>
      </c>
      <c r="C76">
        <f t="shared" si="1"/>
        <v>335.90553937288252</v>
      </c>
      <c r="D76">
        <f t="shared" si="0"/>
        <v>335.95195364566831</v>
      </c>
      <c r="E76">
        <f t="shared" si="0"/>
        <v>335.99687547139939</v>
      </c>
      <c r="F76">
        <f t="shared" si="0"/>
        <v>336.04030485007564</v>
      </c>
      <c r="G76">
        <f t="shared" si="0"/>
        <v>336.08224178169718</v>
      </c>
      <c r="H76">
        <f t="shared" si="0"/>
        <v>336.12268626626394</v>
      </c>
      <c r="I76">
        <f t="shared" si="0"/>
        <v>336.16163830377593</v>
      </c>
      <c r="J76">
        <f t="shared" si="0"/>
        <v>336.1990978942332</v>
      </c>
      <c r="K76">
        <f t="shared" si="0"/>
        <v>336.23506503763571</v>
      </c>
      <c r="L76">
        <f t="shared" si="0"/>
        <v>336.26953973398349</v>
      </c>
      <c r="M76">
        <f t="shared" si="0"/>
        <v>336.30252198327645</v>
      </c>
      <c r="N76">
        <f t="shared" si="0"/>
        <v>336.33401178551463</v>
      </c>
      <c r="O76">
        <f t="shared" si="0"/>
        <v>336.36400914069816</v>
      </c>
      <c r="P76">
        <f t="shared" si="0"/>
        <v>336.39251404882685</v>
      </c>
      <c r="Q76">
        <f t="shared" si="0"/>
        <v>336.41952650990083</v>
      </c>
      <c r="R76">
        <f t="shared" si="0"/>
        <v>336.44504652391998</v>
      </c>
      <c r="S76">
        <f t="shared" si="0"/>
        <v>336.46907409088442</v>
      </c>
      <c r="T76">
        <f t="shared" si="0"/>
        <v>336.49160921079414</v>
      </c>
      <c r="U76">
        <f t="shared" si="0"/>
        <v>336.51265188364903</v>
      </c>
      <c r="V76">
        <f t="shared" si="0"/>
        <v>335.90553937288252</v>
      </c>
    </row>
    <row r="77" spans="1:22">
      <c r="A77">
        <v>10</v>
      </c>
      <c r="B77">
        <v>10</v>
      </c>
      <c r="C77">
        <f t="shared" si="1"/>
        <v>336.47984097408835</v>
      </c>
      <c r="D77">
        <f t="shared" si="0"/>
        <v>336.52625524687414</v>
      </c>
      <c r="E77">
        <f t="shared" si="0"/>
        <v>336.57117707260522</v>
      </c>
      <c r="F77">
        <f t="shared" si="0"/>
        <v>336.61460645128147</v>
      </c>
      <c r="G77">
        <f t="shared" si="0"/>
        <v>336.65654338290301</v>
      </c>
      <c r="H77">
        <f t="shared" si="0"/>
        <v>336.69698786746977</v>
      </c>
      <c r="I77">
        <f t="shared" si="0"/>
        <v>336.73593990498176</v>
      </c>
      <c r="J77">
        <f t="shared" si="0"/>
        <v>336.77339949543904</v>
      </c>
      <c r="K77">
        <f t="shared" si="0"/>
        <v>336.80936663884154</v>
      </c>
      <c r="L77">
        <f t="shared" si="0"/>
        <v>336.84384133518932</v>
      </c>
      <c r="M77">
        <f t="shared" si="0"/>
        <v>336.87682358448228</v>
      </c>
      <c r="N77">
        <f t="shared" si="0"/>
        <v>336.90831338672047</v>
      </c>
      <c r="O77">
        <f t="shared" si="0"/>
        <v>336.93831074190399</v>
      </c>
      <c r="P77">
        <f t="shared" si="0"/>
        <v>336.96681565003269</v>
      </c>
      <c r="Q77">
        <f t="shared" si="0"/>
        <v>336.99382811110667</v>
      </c>
      <c r="R77">
        <f t="shared" si="0"/>
        <v>337.01934812512582</v>
      </c>
      <c r="S77">
        <f t="shared" si="0"/>
        <v>337.04337569209025</v>
      </c>
      <c r="T77">
        <f t="shared" si="0"/>
        <v>337.06591081199997</v>
      </c>
      <c r="U77">
        <f t="shared" si="0"/>
        <v>337.08695348485486</v>
      </c>
      <c r="V77">
        <f t="shared" si="0"/>
        <v>336.47984097408835</v>
      </c>
    </row>
    <row r="78" spans="1:22">
      <c r="A78">
        <v>11</v>
      </c>
      <c r="B78">
        <v>11</v>
      </c>
      <c r="C78">
        <f t="shared" si="1"/>
        <v>337.05769359057274</v>
      </c>
      <c r="D78">
        <f t="shared" si="0"/>
        <v>337.10410786335854</v>
      </c>
      <c r="E78">
        <f t="shared" si="0"/>
        <v>337.14902968908962</v>
      </c>
      <c r="F78">
        <f t="shared" si="0"/>
        <v>337.19245906776587</v>
      </c>
      <c r="G78">
        <f t="shared" si="0"/>
        <v>337.2343959993874</v>
      </c>
      <c r="H78">
        <f t="shared" si="0"/>
        <v>337.27484048395416</v>
      </c>
      <c r="I78">
        <f t="shared" si="0"/>
        <v>337.31379252146615</v>
      </c>
      <c r="J78">
        <f t="shared" si="0"/>
        <v>337.35125211192343</v>
      </c>
      <c r="K78">
        <f t="shared" si="0"/>
        <v>337.38721925532593</v>
      </c>
      <c r="L78">
        <f t="shared" si="0"/>
        <v>337.42169395167372</v>
      </c>
      <c r="M78">
        <f t="shared" si="0"/>
        <v>337.45467620096667</v>
      </c>
      <c r="N78">
        <f t="shared" si="0"/>
        <v>337.48616600320486</v>
      </c>
      <c r="O78">
        <f t="shared" si="0"/>
        <v>337.51616335838838</v>
      </c>
      <c r="P78">
        <f t="shared" si="0"/>
        <v>337.54466826651708</v>
      </c>
      <c r="Q78">
        <f t="shared" si="0"/>
        <v>337.57168072759106</v>
      </c>
      <c r="R78">
        <f t="shared" si="0"/>
        <v>337.59720074161021</v>
      </c>
      <c r="S78">
        <f t="shared" si="0"/>
        <v>337.62122830857464</v>
      </c>
      <c r="T78">
        <f t="shared" si="0"/>
        <v>337.64376342848436</v>
      </c>
      <c r="U78">
        <f t="shared" si="0"/>
        <v>337.66480610133925</v>
      </c>
      <c r="V78">
        <f t="shared" si="0"/>
        <v>337.05769359057274</v>
      </c>
    </row>
    <row r="79" spans="1:22">
      <c r="A79">
        <v>12</v>
      </c>
      <c r="B79">
        <v>12</v>
      </c>
      <c r="C79">
        <f t="shared" si="1"/>
        <v>337.63909722233564</v>
      </c>
      <c r="D79">
        <f t="shared" si="0"/>
        <v>337.68551149512143</v>
      </c>
      <c r="E79">
        <f t="shared" si="0"/>
        <v>337.73043332085251</v>
      </c>
      <c r="F79">
        <f t="shared" si="0"/>
        <v>337.77386269952876</v>
      </c>
      <c r="G79">
        <f t="shared" si="0"/>
        <v>337.8157996311503</v>
      </c>
      <c r="H79">
        <f t="shared" si="0"/>
        <v>337.85624411571706</v>
      </c>
      <c r="I79">
        <f t="shared" si="0"/>
        <v>337.89519615322905</v>
      </c>
      <c r="J79">
        <f t="shared" si="0"/>
        <v>337.93265574368633</v>
      </c>
      <c r="K79">
        <f t="shared" si="0"/>
        <v>337.96862288708883</v>
      </c>
      <c r="L79">
        <f t="shared" si="0"/>
        <v>338.00309758343661</v>
      </c>
      <c r="M79">
        <f t="shared" si="0"/>
        <v>338.03607983272957</v>
      </c>
      <c r="N79">
        <f t="shared" si="0"/>
        <v>338.06756963496775</v>
      </c>
      <c r="O79">
        <f t="shared" si="0"/>
        <v>338.09756699015128</v>
      </c>
      <c r="P79">
        <f t="shared" si="0"/>
        <v>338.12607189827997</v>
      </c>
      <c r="Q79">
        <f t="shared" si="0"/>
        <v>338.15308435935395</v>
      </c>
      <c r="R79">
        <f t="shared" si="0"/>
        <v>338.1786043733731</v>
      </c>
      <c r="S79">
        <f t="shared" si="0"/>
        <v>338.20263194033754</v>
      </c>
      <c r="T79">
        <f t="shared" si="0"/>
        <v>338.22516706024726</v>
      </c>
      <c r="U79">
        <f t="shared" si="0"/>
        <v>338.24620973310215</v>
      </c>
      <c r="V79">
        <f t="shared" si="0"/>
        <v>337.63909722233564</v>
      </c>
    </row>
    <row r="80" spans="1:22">
      <c r="A80">
        <v>13</v>
      </c>
      <c r="B80">
        <v>13</v>
      </c>
      <c r="C80">
        <f t="shared" si="1"/>
        <v>338.22405186937704</v>
      </c>
      <c r="D80">
        <f t="shared" si="0"/>
        <v>338.27046614216283</v>
      </c>
      <c r="E80">
        <f t="shared" si="0"/>
        <v>338.31538796789391</v>
      </c>
      <c r="F80">
        <f t="shared" si="0"/>
        <v>338.35881734657016</v>
      </c>
      <c r="G80">
        <f t="shared" si="0"/>
        <v>338.4007542781917</v>
      </c>
      <c r="H80">
        <f t="shared" si="0"/>
        <v>338.44119876275846</v>
      </c>
      <c r="I80">
        <f t="shared" si="0"/>
        <v>338.48015080027045</v>
      </c>
      <c r="J80">
        <f t="shared" si="0"/>
        <v>338.51761039072773</v>
      </c>
      <c r="K80">
        <f t="shared" si="0"/>
        <v>338.55357753413023</v>
      </c>
      <c r="L80">
        <f t="shared" si="0"/>
        <v>338.58805223047801</v>
      </c>
      <c r="M80">
        <f t="shared" si="0"/>
        <v>338.62103447977097</v>
      </c>
      <c r="N80">
        <f t="shared" si="0"/>
        <v>338.65252428200915</v>
      </c>
      <c r="O80">
        <f t="shared" si="0"/>
        <v>338.68252163719268</v>
      </c>
      <c r="P80">
        <f t="shared" si="0"/>
        <v>338.71102654532137</v>
      </c>
      <c r="Q80">
        <f t="shared" si="0"/>
        <v>338.73803900639535</v>
      </c>
      <c r="R80">
        <f t="shared" si="0"/>
        <v>338.7635590204145</v>
      </c>
      <c r="S80">
        <f t="shared" si="0"/>
        <v>338.78758658737894</v>
      </c>
      <c r="T80">
        <f t="shared" si="0"/>
        <v>338.81012170728866</v>
      </c>
      <c r="U80">
        <f t="shared" si="0"/>
        <v>338.83116438014355</v>
      </c>
      <c r="V80">
        <f t="shared" si="0"/>
        <v>338.22405186937704</v>
      </c>
    </row>
    <row r="81" spans="1:22">
      <c r="A81">
        <v>14</v>
      </c>
      <c r="B81">
        <v>14</v>
      </c>
      <c r="C81">
        <f t="shared" si="1"/>
        <v>338.81255753169694</v>
      </c>
      <c r="D81">
        <f t="shared" si="0"/>
        <v>338.85897180448274</v>
      </c>
      <c r="E81">
        <f t="shared" si="0"/>
        <v>338.90389363021382</v>
      </c>
      <c r="F81">
        <f t="shared" si="0"/>
        <v>338.94732300889007</v>
      </c>
      <c r="G81">
        <f t="shared" si="0"/>
        <v>338.9892599405116</v>
      </c>
      <c r="H81">
        <f t="shared" ref="D81:V94" si="2">$C$65+$D$65*$A26+$E$65*($A26^2)+$F$65*H$11+$G$65*(H$11^2)</f>
        <v>339.02970442507836</v>
      </c>
      <c r="I81">
        <f t="shared" si="2"/>
        <v>339.06865646259035</v>
      </c>
      <c r="J81">
        <f t="shared" si="2"/>
        <v>339.10611605304763</v>
      </c>
      <c r="K81">
        <f t="shared" si="2"/>
        <v>339.14208319645013</v>
      </c>
      <c r="L81">
        <f t="shared" si="2"/>
        <v>339.17655789279792</v>
      </c>
      <c r="M81">
        <f t="shared" si="2"/>
        <v>339.20954014209087</v>
      </c>
      <c r="N81">
        <f t="shared" si="2"/>
        <v>339.24102994432906</v>
      </c>
      <c r="O81">
        <f t="shared" si="2"/>
        <v>339.27102729951258</v>
      </c>
      <c r="P81">
        <f t="shared" si="2"/>
        <v>339.29953220764128</v>
      </c>
      <c r="Q81">
        <f t="shared" si="2"/>
        <v>339.32654466871526</v>
      </c>
      <c r="R81">
        <f t="shared" si="2"/>
        <v>339.35206468273441</v>
      </c>
      <c r="S81">
        <f t="shared" si="2"/>
        <v>339.37609224969884</v>
      </c>
      <c r="T81">
        <f t="shared" si="2"/>
        <v>339.39862736960856</v>
      </c>
      <c r="U81">
        <f t="shared" si="2"/>
        <v>339.41967004246345</v>
      </c>
      <c r="V81">
        <f t="shared" si="2"/>
        <v>338.81255753169694</v>
      </c>
    </row>
    <row r="82" spans="1:22">
      <c r="A82">
        <v>15</v>
      </c>
      <c r="B82">
        <v>15</v>
      </c>
      <c r="C82">
        <f t="shared" si="1"/>
        <v>339.40461420929535</v>
      </c>
      <c r="D82">
        <f t="shared" si="2"/>
        <v>339.45102848208114</v>
      </c>
      <c r="E82">
        <f t="shared" si="2"/>
        <v>339.49595030781222</v>
      </c>
      <c r="F82">
        <f t="shared" si="2"/>
        <v>339.53937968648847</v>
      </c>
      <c r="G82">
        <f t="shared" si="2"/>
        <v>339.58131661811001</v>
      </c>
      <c r="H82">
        <f t="shared" si="2"/>
        <v>339.62176110267677</v>
      </c>
      <c r="I82">
        <f t="shared" si="2"/>
        <v>339.66071314018876</v>
      </c>
      <c r="J82">
        <f t="shared" si="2"/>
        <v>339.69817273064604</v>
      </c>
      <c r="K82">
        <f t="shared" si="2"/>
        <v>339.73413987404854</v>
      </c>
      <c r="L82">
        <f t="shared" si="2"/>
        <v>339.76861457039632</v>
      </c>
      <c r="M82">
        <f t="shared" si="2"/>
        <v>339.80159681968928</v>
      </c>
      <c r="N82">
        <f t="shared" si="2"/>
        <v>339.83308662192746</v>
      </c>
      <c r="O82">
        <f t="shared" si="2"/>
        <v>339.86308397711099</v>
      </c>
      <c r="P82">
        <f t="shared" si="2"/>
        <v>339.89158888523968</v>
      </c>
      <c r="Q82">
        <f t="shared" si="2"/>
        <v>339.91860134631366</v>
      </c>
      <c r="R82">
        <f t="shared" si="2"/>
        <v>339.94412136033282</v>
      </c>
      <c r="S82">
        <f t="shared" si="2"/>
        <v>339.96814892729725</v>
      </c>
      <c r="T82">
        <f t="shared" si="2"/>
        <v>339.99068404720697</v>
      </c>
      <c r="U82">
        <f t="shared" si="2"/>
        <v>340.01172672006186</v>
      </c>
      <c r="V82">
        <f t="shared" si="2"/>
        <v>339.40461420929535</v>
      </c>
    </row>
    <row r="83" spans="1:22">
      <c r="A83">
        <v>16</v>
      </c>
      <c r="B83">
        <v>16</v>
      </c>
      <c r="C83">
        <f t="shared" si="1"/>
        <v>340.00022190217231</v>
      </c>
      <c r="D83">
        <f t="shared" si="2"/>
        <v>340.04663617495811</v>
      </c>
      <c r="E83">
        <f t="shared" si="2"/>
        <v>340.09155800068919</v>
      </c>
      <c r="F83">
        <f t="shared" si="2"/>
        <v>340.13498737936544</v>
      </c>
      <c r="G83">
        <f t="shared" si="2"/>
        <v>340.17692431098698</v>
      </c>
      <c r="H83">
        <f t="shared" si="2"/>
        <v>340.21736879555374</v>
      </c>
      <c r="I83">
        <f t="shared" si="2"/>
        <v>340.25632083306573</v>
      </c>
      <c r="J83">
        <f t="shared" si="2"/>
        <v>340.293780423523</v>
      </c>
      <c r="K83">
        <f t="shared" si="2"/>
        <v>340.3297475669255</v>
      </c>
      <c r="L83">
        <f t="shared" si="2"/>
        <v>340.36422226327329</v>
      </c>
      <c r="M83">
        <f t="shared" si="2"/>
        <v>340.39720451256625</v>
      </c>
      <c r="N83">
        <f t="shared" si="2"/>
        <v>340.42869431480443</v>
      </c>
      <c r="O83">
        <f t="shared" si="2"/>
        <v>340.45869166998796</v>
      </c>
      <c r="P83">
        <f t="shared" si="2"/>
        <v>340.48719657811665</v>
      </c>
      <c r="Q83">
        <f t="shared" si="2"/>
        <v>340.51420903919063</v>
      </c>
      <c r="R83">
        <f t="shared" si="2"/>
        <v>340.53972905320978</v>
      </c>
      <c r="S83">
        <f t="shared" si="2"/>
        <v>340.56375662017422</v>
      </c>
      <c r="T83">
        <f t="shared" si="2"/>
        <v>340.58629174008394</v>
      </c>
      <c r="U83">
        <f t="shared" si="2"/>
        <v>340.60733441293883</v>
      </c>
      <c r="V83">
        <f t="shared" si="2"/>
        <v>340.00022190217231</v>
      </c>
    </row>
    <row r="84" spans="1:22">
      <c r="A84">
        <v>17</v>
      </c>
      <c r="B84">
        <v>17</v>
      </c>
      <c r="C84">
        <f t="shared" si="1"/>
        <v>340.59938061032773</v>
      </c>
      <c r="D84">
        <f t="shared" si="2"/>
        <v>340.64579488311352</v>
      </c>
      <c r="E84">
        <f t="shared" si="2"/>
        <v>340.6907167088446</v>
      </c>
      <c r="F84">
        <f t="shared" si="2"/>
        <v>340.73414608752086</v>
      </c>
      <c r="G84">
        <f t="shared" si="2"/>
        <v>340.77608301914239</v>
      </c>
      <c r="H84">
        <f t="shared" si="2"/>
        <v>340.81652750370915</v>
      </c>
      <c r="I84">
        <f t="shared" si="2"/>
        <v>340.85547954122114</v>
      </c>
      <c r="J84">
        <f t="shared" si="2"/>
        <v>340.89293913167842</v>
      </c>
      <c r="K84">
        <f t="shared" si="2"/>
        <v>340.92890627508092</v>
      </c>
      <c r="L84">
        <f t="shared" si="2"/>
        <v>340.96338097142871</v>
      </c>
      <c r="M84">
        <f t="shared" si="2"/>
        <v>340.99636322072166</v>
      </c>
      <c r="N84">
        <f t="shared" si="2"/>
        <v>341.02785302295985</v>
      </c>
      <c r="O84">
        <f t="shared" si="2"/>
        <v>341.05785037814337</v>
      </c>
      <c r="P84">
        <f t="shared" si="2"/>
        <v>341.08635528627207</v>
      </c>
      <c r="Q84">
        <f t="shared" si="2"/>
        <v>341.11336774734605</v>
      </c>
      <c r="R84">
        <f t="shared" si="2"/>
        <v>341.1388877613652</v>
      </c>
      <c r="S84">
        <f t="shared" si="2"/>
        <v>341.16291532832963</v>
      </c>
      <c r="T84">
        <f t="shared" si="2"/>
        <v>341.18545044823935</v>
      </c>
      <c r="U84">
        <f t="shared" si="2"/>
        <v>341.20649312109424</v>
      </c>
      <c r="V84">
        <f t="shared" si="2"/>
        <v>340.59938061032773</v>
      </c>
    </row>
    <row r="85" spans="1:22">
      <c r="A85">
        <v>18</v>
      </c>
      <c r="B85">
        <v>18</v>
      </c>
      <c r="C85">
        <f t="shared" si="1"/>
        <v>341.2020903337617</v>
      </c>
      <c r="D85">
        <f t="shared" si="2"/>
        <v>341.2485046065475</v>
      </c>
      <c r="E85">
        <f t="shared" si="2"/>
        <v>341.29342643227858</v>
      </c>
      <c r="F85">
        <f t="shared" si="2"/>
        <v>341.33685581095483</v>
      </c>
      <c r="G85">
        <f t="shared" si="2"/>
        <v>341.37879274257637</v>
      </c>
      <c r="H85">
        <f t="shared" si="2"/>
        <v>341.41923722714313</v>
      </c>
      <c r="I85">
        <f t="shared" si="2"/>
        <v>341.45818926465512</v>
      </c>
      <c r="J85">
        <f t="shared" si="2"/>
        <v>341.49564885511239</v>
      </c>
      <c r="K85">
        <f t="shared" si="2"/>
        <v>341.53161599851489</v>
      </c>
      <c r="L85">
        <f t="shared" si="2"/>
        <v>341.56609069486268</v>
      </c>
      <c r="M85">
        <f t="shared" si="2"/>
        <v>341.59907294415564</v>
      </c>
      <c r="N85">
        <f t="shared" si="2"/>
        <v>341.63056274639382</v>
      </c>
      <c r="O85">
        <f t="shared" si="2"/>
        <v>341.66056010157735</v>
      </c>
      <c r="P85">
        <f t="shared" si="2"/>
        <v>341.68906500970604</v>
      </c>
      <c r="Q85">
        <f t="shared" si="2"/>
        <v>341.71607747078002</v>
      </c>
      <c r="R85">
        <f t="shared" si="2"/>
        <v>341.74159748479917</v>
      </c>
      <c r="S85">
        <f t="shared" si="2"/>
        <v>341.76562505176361</v>
      </c>
      <c r="T85">
        <f t="shared" si="2"/>
        <v>341.78816017167333</v>
      </c>
      <c r="U85">
        <f t="shared" si="2"/>
        <v>341.80920284452822</v>
      </c>
      <c r="V85">
        <f t="shared" si="2"/>
        <v>341.2020903337617</v>
      </c>
    </row>
    <row r="86" spans="1:22">
      <c r="A86">
        <v>19</v>
      </c>
      <c r="B86">
        <v>19</v>
      </c>
      <c r="C86">
        <f t="shared" si="1"/>
        <v>341.80835107247424</v>
      </c>
      <c r="D86">
        <f t="shared" si="2"/>
        <v>341.85476534526003</v>
      </c>
      <c r="E86">
        <f t="shared" si="2"/>
        <v>341.89968717099111</v>
      </c>
      <c r="F86">
        <f t="shared" si="2"/>
        <v>341.94311654966737</v>
      </c>
      <c r="G86">
        <f t="shared" si="2"/>
        <v>341.9850534812889</v>
      </c>
      <c r="H86">
        <f t="shared" si="2"/>
        <v>342.02549796585566</v>
      </c>
      <c r="I86">
        <f t="shared" si="2"/>
        <v>342.06445000336765</v>
      </c>
      <c r="J86">
        <f t="shared" si="2"/>
        <v>342.10190959382493</v>
      </c>
      <c r="K86">
        <f t="shared" si="2"/>
        <v>342.13787673722743</v>
      </c>
      <c r="L86">
        <f t="shared" si="2"/>
        <v>342.17235143357522</v>
      </c>
      <c r="M86">
        <f t="shared" si="2"/>
        <v>342.20533368286817</v>
      </c>
      <c r="N86">
        <f t="shared" si="2"/>
        <v>342.23682348510636</v>
      </c>
      <c r="O86">
        <f t="shared" si="2"/>
        <v>342.26682084028988</v>
      </c>
      <c r="P86">
        <f t="shared" si="2"/>
        <v>342.29532574841858</v>
      </c>
      <c r="Q86">
        <f t="shared" si="2"/>
        <v>342.32233820949256</v>
      </c>
      <c r="R86">
        <f t="shared" si="2"/>
        <v>342.34785822351171</v>
      </c>
      <c r="S86">
        <f t="shared" si="2"/>
        <v>342.37188579047614</v>
      </c>
      <c r="T86">
        <f t="shared" si="2"/>
        <v>342.39442091038586</v>
      </c>
      <c r="U86">
        <f t="shared" si="2"/>
        <v>342.41546358324075</v>
      </c>
      <c r="V86">
        <f t="shared" si="2"/>
        <v>341.80835107247424</v>
      </c>
    </row>
    <row r="87" spans="1:22">
      <c r="A87">
        <v>20</v>
      </c>
      <c r="B87">
        <v>20</v>
      </c>
      <c r="C87">
        <f t="shared" si="1"/>
        <v>342.41816282646522</v>
      </c>
      <c r="D87">
        <f t="shared" si="2"/>
        <v>342.46457709925102</v>
      </c>
      <c r="E87">
        <f t="shared" si="2"/>
        <v>342.5094989249821</v>
      </c>
      <c r="F87">
        <f t="shared" si="2"/>
        <v>342.55292830365835</v>
      </c>
      <c r="G87">
        <f t="shared" si="2"/>
        <v>342.59486523527988</v>
      </c>
      <c r="H87">
        <f t="shared" si="2"/>
        <v>342.63530971984665</v>
      </c>
      <c r="I87">
        <f t="shared" si="2"/>
        <v>342.67426175735864</v>
      </c>
      <c r="J87">
        <f t="shared" si="2"/>
        <v>342.71172134781591</v>
      </c>
      <c r="K87">
        <f t="shared" si="2"/>
        <v>342.74768849121841</v>
      </c>
      <c r="L87">
        <f t="shared" si="2"/>
        <v>342.7821631875662</v>
      </c>
      <c r="M87">
        <f t="shared" si="2"/>
        <v>342.81514543685915</v>
      </c>
      <c r="N87">
        <f t="shared" si="2"/>
        <v>342.84663523909734</v>
      </c>
      <c r="O87">
        <f t="shared" si="2"/>
        <v>342.87663259428086</v>
      </c>
      <c r="P87">
        <f t="shared" si="2"/>
        <v>342.90513750240956</v>
      </c>
      <c r="Q87">
        <f t="shared" si="2"/>
        <v>342.93214996348354</v>
      </c>
      <c r="R87">
        <f t="shared" si="2"/>
        <v>342.95766997750269</v>
      </c>
      <c r="S87">
        <f t="shared" si="2"/>
        <v>342.98169754446712</v>
      </c>
      <c r="T87">
        <f t="shared" si="2"/>
        <v>343.00423266437684</v>
      </c>
      <c r="U87">
        <f t="shared" si="2"/>
        <v>343.02527533723173</v>
      </c>
      <c r="V87">
        <f t="shared" si="2"/>
        <v>342.41816282646522</v>
      </c>
    </row>
    <row r="88" spans="1:22">
      <c r="A88">
        <v>21</v>
      </c>
      <c r="B88">
        <v>21</v>
      </c>
      <c r="C88">
        <f t="shared" si="1"/>
        <v>343.03152559573476</v>
      </c>
      <c r="D88">
        <f t="shared" si="2"/>
        <v>343.07793986852056</v>
      </c>
      <c r="E88">
        <f t="shared" si="2"/>
        <v>343.12286169425164</v>
      </c>
      <c r="F88">
        <f t="shared" si="2"/>
        <v>343.16629107292789</v>
      </c>
      <c r="G88">
        <f t="shared" si="2"/>
        <v>343.20822800454943</v>
      </c>
      <c r="H88">
        <f t="shared" si="2"/>
        <v>343.24867248911619</v>
      </c>
      <c r="I88">
        <f t="shared" si="2"/>
        <v>343.28762452662818</v>
      </c>
      <c r="J88">
        <f t="shared" si="2"/>
        <v>343.32508411708545</v>
      </c>
      <c r="K88">
        <f t="shared" si="2"/>
        <v>343.36105126048795</v>
      </c>
      <c r="L88">
        <f t="shared" si="2"/>
        <v>343.39552595683574</v>
      </c>
      <c r="M88">
        <f t="shared" si="2"/>
        <v>343.4285082061287</v>
      </c>
      <c r="N88">
        <f t="shared" si="2"/>
        <v>343.45999800836688</v>
      </c>
      <c r="O88">
        <f t="shared" si="2"/>
        <v>343.48999536355041</v>
      </c>
      <c r="P88">
        <f t="shared" si="2"/>
        <v>343.5185002716791</v>
      </c>
      <c r="Q88">
        <f t="shared" si="2"/>
        <v>343.54551273275308</v>
      </c>
      <c r="R88">
        <f t="shared" si="2"/>
        <v>343.57103274677223</v>
      </c>
      <c r="S88">
        <f t="shared" si="2"/>
        <v>343.59506031373667</v>
      </c>
      <c r="T88">
        <f t="shared" si="2"/>
        <v>343.61759543364639</v>
      </c>
      <c r="U88">
        <f t="shared" si="2"/>
        <v>343.63863810650128</v>
      </c>
      <c r="V88">
        <f t="shared" si="2"/>
        <v>343.03152559573476</v>
      </c>
    </row>
    <row r="89" spans="1:22">
      <c r="A89">
        <v>22</v>
      </c>
      <c r="B89">
        <v>22</v>
      </c>
      <c r="C89">
        <f t="shared" si="1"/>
        <v>343.64843938028275</v>
      </c>
      <c r="D89">
        <f t="shared" si="2"/>
        <v>343.69485365306855</v>
      </c>
      <c r="E89">
        <f t="shared" si="2"/>
        <v>343.73977547879963</v>
      </c>
      <c r="F89">
        <f t="shared" si="2"/>
        <v>343.78320485747588</v>
      </c>
      <c r="G89">
        <f t="shared" si="2"/>
        <v>343.82514178909742</v>
      </c>
      <c r="H89">
        <f t="shared" si="2"/>
        <v>343.86558627366418</v>
      </c>
      <c r="I89">
        <f t="shared" si="2"/>
        <v>343.90453831117617</v>
      </c>
      <c r="J89">
        <f t="shared" si="2"/>
        <v>343.94199790163344</v>
      </c>
      <c r="K89">
        <f t="shared" si="2"/>
        <v>343.97796504503594</v>
      </c>
      <c r="L89">
        <f t="shared" si="2"/>
        <v>344.01243974138373</v>
      </c>
      <c r="M89">
        <f t="shared" si="2"/>
        <v>344.04542199067669</v>
      </c>
      <c r="N89">
        <f t="shared" si="2"/>
        <v>344.07691179291487</v>
      </c>
      <c r="O89">
        <f t="shared" si="2"/>
        <v>344.1069091480984</v>
      </c>
      <c r="P89">
        <f t="shared" si="2"/>
        <v>344.13541405622709</v>
      </c>
      <c r="Q89">
        <f t="shared" si="2"/>
        <v>344.16242651730107</v>
      </c>
      <c r="R89">
        <f t="shared" si="2"/>
        <v>344.18794653132022</v>
      </c>
      <c r="S89">
        <f t="shared" si="2"/>
        <v>344.21197409828466</v>
      </c>
      <c r="T89">
        <f t="shared" si="2"/>
        <v>344.23450921819438</v>
      </c>
      <c r="U89">
        <f t="shared" si="2"/>
        <v>344.25555189104927</v>
      </c>
      <c r="V89">
        <f t="shared" si="2"/>
        <v>343.64843938028275</v>
      </c>
    </row>
    <row r="90" spans="1:22">
      <c r="A90">
        <v>23</v>
      </c>
      <c r="B90">
        <v>23</v>
      </c>
      <c r="C90">
        <f t="shared" si="1"/>
        <v>344.2689041801093</v>
      </c>
      <c r="D90">
        <f t="shared" si="2"/>
        <v>344.3153184528951</v>
      </c>
      <c r="E90">
        <f t="shared" si="2"/>
        <v>344.36024027862618</v>
      </c>
      <c r="F90">
        <f t="shared" si="2"/>
        <v>344.40366965730243</v>
      </c>
      <c r="G90">
        <f t="shared" si="2"/>
        <v>344.44560658892397</v>
      </c>
      <c r="H90">
        <f t="shared" si="2"/>
        <v>344.48605107349073</v>
      </c>
      <c r="I90">
        <f t="shared" si="2"/>
        <v>344.52500311100272</v>
      </c>
      <c r="J90">
        <f t="shared" si="2"/>
        <v>344.56246270145999</v>
      </c>
      <c r="K90">
        <f t="shared" si="2"/>
        <v>344.59842984486249</v>
      </c>
      <c r="L90">
        <f t="shared" si="2"/>
        <v>344.63290454121028</v>
      </c>
      <c r="M90">
        <f t="shared" si="2"/>
        <v>344.66588679050324</v>
      </c>
      <c r="N90">
        <f t="shared" si="2"/>
        <v>344.69737659274142</v>
      </c>
      <c r="O90">
        <f t="shared" si="2"/>
        <v>344.72737394792495</v>
      </c>
      <c r="P90">
        <f t="shared" si="2"/>
        <v>344.75587885605364</v>
      </c>
      <c r="Q90">
        <f t="shared" si="2"/>
        <v>344.78289131712762</v>
      </c>
      <c r="R90">
        <f t="shared" si="2"/>
        <v>344.80841133114677</v>
      </c>
      <c r="S90">
        <f t="shared" si="2"/>
        <v>344.83243889811121</v>
      </c>
      <c r="T90">
        <f t="shared" si="2"/>
        <v>344.85497401802093</v>
      </c>
      <c r="U90">
        <f t="shared" si="2"/>
        <v>344.87601669087582</v>
      </c>
      <c r="V90">
        <f t="shared" si="2"/>
        <v>344.2689041801093</v>
      </c>
    </row>
    <row r="91" spans="1:22">
      <c r="A91">
        <v>24</v>
      </c>
      <c r="B91">
        <v>24</v>
      </c>
      <c r="C91">
        <f t="shared" si="1"/>
        <v>344.8929199952143</v>
      </c>
      <c r="D91">
        <f t="shared" si="2"/>
        <v>344.9393342680001</v>
      </c>
      <c r="E91">
        <f t="shared" si="2"/>
        <v>344.98425609373118</v>
      </c>
      <c r="F91">
        <f t="shared" si="2"/>
        <v>345.02768547240743</v>
      </c>
      <c r="G91">
        <f t="shared" si="2"/>
        <v>345.06962240402896</v>
      </c>
      <c r="H91">
        <f t="shared" si="2"/>
        <v>345.11006688859572</v>
      </c>
      <c r="I91">
        <f t="shared" si="2"/>
        <v>345.14901892610771</v>
      </c>
      <c r="J91">
        <f t="shared" si="2"/>
        <v>345.18647851656499</v>
      </c>
      <c r="K91">
        <f t="shared" si="2"/>
        <v>345.22244565996749</v>
      </c>
      <c r="L91">
        <f t="shared" si="2"/>
        <v>345.25692035631528</v>
      </c>
      <c r="M91">
        <f t="shared" si="2"/>
        <v>345.28990260560823</v>
      </c>
      <c r="N91">
        <f t="shared" si="2"/>
        <v>345.32139240784642</v>
      </c>
      <c r="O91">
        <f t="shared" si="2"/>
        <v>345.35138976302994</v>
      </c>
      <c r="P91">
        <f t="shared" si="2"/>
        <v>345.37989467115864</v>
      </c>
      <c r="Q91">
        <f t="shared" si="2"/>
        <v>345.40690713223262</v>
      </c>
      <c r="R91">
        <f t="shared" si="2"/>
        <v>345.43242714625177</v>
      </c>
      <c r="S91">
        <f t="shared" si="2"/>
        <v>345.4564547132162</v>
      </c>
      <c r="T91">
        <f t="shared" si="2"/>
        <v>345.47898983312592</v>
      </c>
      <c r="U91">
        <f t="shared" si="2"/>
        <v>345.50003250598081</v>
      </c>
      <c r="V91">
        <f t="shared" si="2"/>
        <v>344.8929199952143</v>
      </c>
    </row>
    <row r="92" spans="1:22">
      <c r="A92">
        <v>25</v>
      </c>
      <c r="B92">
        <v>25</v>
      </c>
      <c r="C92">
        <f t="shared" si="1"/>
        <v>345.52048682559786</v>
      </c>
      <c r="D92">
        <f t="shared" si="2"/>
        <v>345.56690109838365</v>
      </c>
      <c r="E92">
        <f t="shared" si="2"/>
        <v>345.61182292411473</v>
      </c>
      <c r="F92">
        <f t="shared" si="2"/>
        <v>345.65525230279098</v>
      </c>
      <c r="G92">
        <f t="shared" si="2"/>
        <v>345.69718923441252</v>
      </c>
      <c r="H92">
        <f t="shared" si="2"/>
        <v>345.73763371897928</v>
      </c>
      <c r="I92">
        <f t="shared" si="2"/>
        <v>345.77658575649127</v>
      </c>
      <c r="J92">
        <f t="shared" si="2"/>
        <v>345.81404534694855</v>
      </c>
      <c r="K92">
        <f t="shared" si="2"/>
        <v>345.85001249035105</v>
      </c>
      <c r="L92">
        <f t="shared" si="2"/>
        <v>345.88448718669883</v>
      </c>
      <c r="M92">
        <f t="shared" si="2"/>
        <v>345.91746943599179</v>
      </c>
      <c r="N92">
        <f t="shared" si="2"/>
        <v>345.94895923822997</v>
      </c>
      <c r="O92">
        <f t="shared" si="2"/>
        <v>345.9789565934135</v>
      </c>
      <c r="P92">
        <f t="shared" si="2"/>
        <v>346.0074615015422</v>
      </c>
      <c r="Q92">
        <f t="shared" si="2"/>
        <v>346.03447396261618</v>
      </c>
      <c r="R92">
        <f t="shared" si="2"/>
        <v>346.05999397663533</v>
      </c>
      <c r="S92">
        <f t="shared" si="2"/>
        <v>346.08402154359976</v>
      </c>
      <c r="T92">
        <f t="shared" si="2"/>
        <v>346.10655666350948</v>
      </c>
      <c r="U92">
        <f t="shared" si="2"/>
        <v>346.12759933636437</v>
      </c>
      <c r="V92">
        <f t="shared" si="2"/>
        <v>345.52048682559786</v>
      </c>
    </row>
    <row r="93" spans="1:22">
      <c r="A93">
        <v>26</v>
      </c>
      <c r="B93">
        <v>26</v>
      </c>
      <c r="C93">
        <f t="shared" si="1"/>
        <v>346.15160467125992</v>
      </c>
      <c r="D93">
        <f t="shared" si="2"/>
        <v>346.19801894404571</v>
      </c>
      <c r="E93">
        <f t="shared" si="2"/>
        <v>346.24294076977679</v>
      </c>
      <c r="F93">
        <f t="shared" si="2"/>
        <v>346.28637014845305</v>
      </c>
      <c r="G93">
        <f t="shared" si="2"/>
        <v>346.32830708007458</v>
      </c>
      <c r="H93">
        <f t="shared" si="2"/>
        <v>346.36875156464134</v>
      </c>
      <c r="I93">
        <f t="shared" si="2"/>
        <v>346.40770360215333</v>
      </c>
      <c r="J93">
        <f t="shared" si="2"/>
        <v>346.44516319261061</v>
      </c>
      <c r="K93">
        <f t="shared" si="2"/>
        <v>346.48113033601311</v>
      </c>
      <c r="L93">
        <f t="shared" si="2"/>
        <v>346.5156050323609</v>
      </c>
      <c r="M93">
        <f t="shared" si="2"/>
        <v>346.54858728165385</v>
      </c>
      <c r="N93">
        <f t="shared" si="2"/>
        <v>346.58007708389204</v>
      </c>
      <c r="O93">
        <f t="shared" si="2"/>
        <v>346.61007443907556</v>
      </c>
      <c r="P93">
        <f t="shared" si="2"/>
        <v>346.63857934720426</v>
      </c>
      <c r="Q93">
        <f t="shared" si="2"/>
        <v>346.66559180827824</v>
      </c>
      <c r="R93">
        <f t="shared" si="2"/>
        <v>346.69111182229739</v>
      </c>
      <c r="S93">
        <f t="shared" si="2"/>
        <v>346.71513938926182</v>
      </c>
      <c r="T93">
        <f t="shared" si="2"/>
        <v>346.73767450917154</v>
      </c>
      <c r="U93">
        <f t="shared" si="2"/>
        <v>346.75871718202643</v>
      </c>
      <c r="V93">
        <f t="shared" si="2"/>
        <v>346.15160467125992</v>
      </c>
    </row>
    <row r="94" spans="1:22">
      <c r="A94">
        <v>27</v>
      </c>
      <c r="B94">
        <v>27</v>
      </c>
      <c r="C94">
        <f t="shared" si="1"/>
        <v>346.78627353220054</v>
      </c>
      <c r="D94">
        <f t="shared" si="2"/>
        <v>346.83268780498634</v>
      </c>
      <c r="E94">
        <f t="shared" si="2"/>
        <v>346.87760963071742</v>
      </c>
      <c r="F94">
        <f t="shared" si="2"/>
        <v>346.92103900939367</v>
      </c>
      <c r="G94">
        <f t="shared" si="2"/>
        <v>346.9629759410152</v>
      </c>
      <c r="H94">
        <f t="shared" si="2"/>
        <v>347.00342042558196</v>
      </c>
      <c r="I94">
        <f t="shared" si="2"/>
        <v>347.04237246309395</v>
      </c>
      <c r="J94">
        <f t="shared" si="2"/>
        <v>347.07983205355123</v>
      </c>
      <c r="K94">
        <f t="shared" si="2"/>
        <v>347.11579919695373</v>
      </c>
      <c r="L94">
        <f t="shared" si="2"/>
        <v>347.15027389330152</v>
      </c>
      <c r="M94">
        <f t="shared" si="2"/>
        <v>347.18325614259447</v>
      </c>
      <c r="N94">
        <f t="shared" si="2"/>
        <v>347.21474594483266</v>
      </c>
      <c r="O94">
        <f t="shared" si="2"/>
        <v>347.24474330001618</v>
      </c>
      <c r="P94">
        <f t="shared" ref="D94:V108" si="3">$C$65+$D$65*$A39+$E$65*($A39^2)+$F$65*P$11+$G$65*(P$11^2)</f>
        <v>347.27324820814488</v>
      </c>
      <c r="Q94">
        <f t="shared" si="3"/>
        <v>347.30026066921886</v>
      </c>
      <c r="R94">
        <f t="shared" si="3"/>
        <v>347.32578068323801</v>
      </c>
      <c r="S94">
        <f t="shared" si="3"/>
        <v>347.34980825020244</v>
      </c>
      <c r="T94">
        <f t="shared" si="3"/>
        <v>347.37234337011216</v>
      </c>
      <c r="U94">
        <f t="shared" si="3"/>
        <v>347.39338604296705</v>
      </c>
      <c r="V94">
        <f t="shared" si="3"/>
        <v>346.78627353220054</v>
      </c>
    </row>
    <row r="95" spans="1:22">
      <c r="A95">
        <v>28</v>
      </c>
      <c r="B95">
        <v>28</v>
      </c>
      <c r="C95">
        <f t="shared" si="1"/>
        <v>347.42449340841961</v>
      </c>
      <c r="D95">
        <f t="shared" si="3"/>
        <v>347.4709076812054</v>
      </c>
      <c r="E95">
        <f t="shared" si="3"/>
        <v>347.51582950693648</v>
      </c>
      <c r="F95">
        <f t="shared" si="3"/>
        <v>347.55925888561273</v>
      </c>
      <c r="G95">
        <f t="shared" si="3"/>
        <v>347.60119581723427</v>
      </c>
      <c r="H95">
        <f t="shared" si="3"/>
        <v>347.64164030180103</v>
      </c>
      <c r="I95">
        <f t="shared" si="3"/>
        <v>347.68059233931302</v>
      </c>
      <c r="J95">
        <f t="shared" si="3"/>
        <v>347.7180519297703</v>
      </c>
      <c r="K95">
        <f t="shared" si="3"/>
        <v>347.7540190731728</v>
      </c>
      <c r="L95">
        <f t="shared" si="3"/>
        <v>347.78849376952058</v>
      </c>
      <c r="M95">
        <f t="shared" si="3"/>
        <v>347.82147601881354</v>
      </c>
      <c r="N95">
        <f t="shared" si="3"/>
        <v>347.85296582105173</v>
      </c>
      <c r="O95">
        <f t="shared" si="3"/>
        <v>347.88296317623525</v>
      </c>
      <c r="P95">
        <f t="shared" si="3"/>
        <v>347.91146808436395</v>
      </c>
      <c r="Q95">
        <f t="shared" si="3"/>
        <v>347.93848054543793</v>
      </c>
      <c r="R95">
        <f t="shared" si="3"/>
        <v>347.96400055945708</v>
      </c>
      <c r="S95">
        <f t="shared" si="3"/>
        <v>347.98802812642151</v>
      </c>
      <c r="T95">
        <f t="shared" si="3"/>
        <v>348.01056324633123</v>
      </c>
      <c r="U95">
        <f t="shared" si="3"/>
        <v>348.03160591918612</v>
      </c>
      <c r="V95">
        <f t="shared" si="3"/>
        <v>347.42449340841961</v>
      </c>
    </row>
    <row r="96" spans="1:22">
      <c r="A96">
        <v>29</v>
      </c>
      <c r="B96">
        <v>29</v>
      </c>
      <c r="C96">
        <f t="shared" si="1"/>
        <v>348.06626429991724</v>
      </c>
      <c r="D96">
        <f t="shared" si="3"/>
        <v>348.11267857270303</v>
      </c>
      <c r="E96">
        <f t="shared" si="3"/>
        <v>348.15760039843411</v>
      </c>
      <c r="F96">
        <f t="shared" si="3"/>
        <v>348.20102977711036</v>
      </c>
      <c r="G96">
        <f t="shared" si="3"/>
        <v>348.2429667087319</v>
      </c>
      <c r="H96">
        <f t="shared" si="3"/>
        <v>348.28341119329866</v>
      </c>
      <c r="I96">
        <f t="shared" si="3"/>
        <v>348.32236323081065</v>
      </c>
      <c r="J96">
        <f t="shared" si="3"/>
        <v>348.35982282126793</v>
      </c>
      <c r="K96">
        <f t="shared" si="3"/>
        <v>348.39578996467043</v>
      </c>
      <c r="L96">
        <f t="shared" si="3"/>
        <v>348.43026466101821</v>
      </c>
      <c r="M96">
        <f t="shared" si="3"/>
        <v>348.46324691031117</v>
      </c>
      <c r="N96">
        <f t="shared" si="3"/>
        <v>348.49473671254935</v>
      </c>
      <c r="O96">
        <f t="shared" si="3"/>
        <v>348.52473406773288</v>
      </c>
      <c r="P96">
        <f t="shared" si="3"/>
        <v>348.55323897586157</v>
      </c>
      <c r="Q96">
        <f t="shared" si="3"/>
        <v>348.58025143693555</v>
      </c>
      <c r="R96">
        <f t="shared" si="3"/>
        <v>348.60577145095471</v>
      </c>
      <c r="S96">
        <f t="shared" si="3"/>
        <v>348.62979901791914</v>
      </c>
      <c r="T96">
        <f t="shared" si="3"/>
        <v>348.65233413782886</v>
      </c>
      <c r="U96">
        <f t="shared" si="3"/>
        <v>348.67337681068375</v>
      </c>
      <c r="V96">
        <f t="shared" si="3"/>
        <v>348.06626429991724</v>
      </c>
    </row>
    <row r="97" spans="1:22">
      <c r="A97">
        <v>30</v>
      </c>
      <c r="B97">
        <v>30</v>
      </c>
      <c r="C97">
        <f t="shared" si="1"/>
        <v>348.71158620669337</v>
      </c>
      <c r="D97">
        <f t="shared" si="3"/>
        <v>348.75800047947916</v>
      </c>
      <c r="E97">
        <f t="shared" si="3"/>
        <v>348.80292230521025</v>
      </c>
      <c r="F97">
        <f t="shared" si="3"/>
        <v>348.8463516838865</v>
      </c>
      <c r="G97">
        <f t="shared" si="3"/>
        <v>348.88828861550803</v>
      </c>
      <c r="H97">
        <f t="shared" si="3"/>
        <v>348.92873310007479</v>
      </c>
      <c r="I97">
        <f t="shared" si="3"/>
        <v>348.96768513758678</v>
      </c>
      <c r="J97">
        <f t="shared" si="3"/>
        <v>349.00514472804406</v>
      </c>
      <c r="K97">
        <f t="shared" si="3"/>
        <v>349.04111187144656</v>
      </c>
      <c r="L97">
        <f t="shared" si="3"/>
        <v>349.07558656779435</v>
      </c>
      <c r="M97">
        <f t="shared" si="3"/>
        <v>349.1085688170873</v>
      </c>
      <c r="N97">
        <f t="shared" si="3"/>
        <v>349.14005861932549</v>
      </c>
      <c r="O97">
        <f t="shared" si="3"/>
        <v>349.17005597450901</v>
      </c>
      <c r="P97">
        <f t="shared" si="3"/>
        <v>349.19856088263771</v>
      </c>
      <c r="Q97">
        <f t="shared" si="3"/>
        <v>349.22557334371169</v>
      </c>
      <c r="R97">
        <f t="shared" si="3"/>
        <v>349.25109335773084</v>
      </c>
      <c r="S97">
        <f t="shared" si="3"/>
        <v>349.27512092469527</v>
      </c>
      <c r="T97">
        <f t="shared" si="3"/>
        <v>349.29765604460499</v>
      </c>
      <c r="U97">
        <f t="shared" si="3"/>
        <v>349.31869871745988</v>
      </c>
      <c r="V97">
        <f t="shared" si="3"/>
        <v>348.71158620669337</v>
      </c>
    </row>
    <row r="98" spans="1:22">
      <c r="A98">
        <v>31</v>
      </c>
      <c r="B98">
        <v>31</v>
      </c>
      <c r="C98">
        <f t="shared" si="1"/>
        <v>349.36045912874795</v>
      </c>
      <c r="D98">
        <f t="shared" si="3"/>
        <v>349.40687340153374</v>
      </c>
      <c r="E98">
        <f t="shared" si="3"/>
        <v>349.45179522726482</v>
      </c>
      <c r="F98">
        <f t="shared" si="3"/>
        <v>349.49522460594108</v>
      </c>
      <c r="G98">
        <f t="shared" si="3"/>
        <v>349.53716153756261</v>
      </c>
      <c r="H98">
        <f t="shared" si="3"/>
        <v>349.57760602212937</v>
      </c>
      <c r="I98">
        <f t="shared" si="3"/>
        <v>349.61655805964136</v>
      </c>
      <c r="J98">
        <f t="shared" si="3"/>
        <v>349.65401765009864</v>
      </c>
      <c r="K98">
        <f t="shared" si="3"/>
        <v>349.68998479350114</v>
      </c>
      <c r="L98">
        <f t="shared" si="3"/>
        <v>349.72445948984893</v>
      </c>
      <c r="M98">
        <f t="shared" si="3"/>
        <v>349.75744173914188</v>
      </c>
      <c r="N98">
        <f t="shared" si="3"/>
        <v>349.78893154138007</v>
      </c>
      <c r="O98">
        <f t="shared" si="3"/>
        <v>349.81892889656359</v>
      </c>
      <c r="P98">
        <f t="shared" si="3"/>
        <v>349.84743380469229</v>
      </c>
      <c r="Q98">
        <f t="shared" si="3"/>
        <v>349.87444626576627</v>
      </c>
      <c r="R98">
        <f t="shared" si="3"/>
        <v>349.89996627978542</v>
      </c>
      <c r="S98">
        <f t="shared" si="3"/>
        <v>349.92399384674985</v>
      </c>
      <c r="T98">
        <f t="shared" si="3"/>
        <v>349.94652896665957</v>
      </c>
      <c r="U98">
        <f t="shared" si="3"/>
        <v>349.96757163951446</v>
      </c>
      <c r="V98">
        <f t="shared" si="3"/>
        <v>349.36045912874795</v>
      </c>
    </row>
    <row r="99" spans="1:22">
      <c r="A99">
        <v>32</v>
      </c>
      <c r="B99">
        <v>32</v>
      </c>
      <c r="C99">
        <f t="shared" si="1"/>
        <v>350.0128830660812</v>
      </c>
      <c r="D99">
        <f t="shared" si="3"/>
        <v>350.059297338867</v>
      </c>
      <c r="E99">
        <f t="shared" si="3"/>
        <v>350.10421916459808</v>
      </c>
      <c r="F99">
        <f t="shared" si="3"/>
        <v>350.14764854327433</v>
      </c>
      <c r="G99">
        <f t="shared" si="3"/>
        <v>350.18958547489586</v>
      </c>
      <c r="H99">
        <f t="shared" si="3"/>
        <v>350.23002995946263</v>
      </c>
      <c r="I99">
        <f t="shared" si="3"/>
        <v>350.26898199697462</v>
      </c>
      <c r="J99">
        <f t="shared" si="3"/>
        <v>350.30644158743189</v>
      </c>
      <c r="K99">
        <f t="shared" si="3"/>
        <v>350.34240873083439</v>
      </c>
      <c r="L99">
        <f t="shared" si="3"/>
        <v>350.37688342718218</v>
      </c>
      <c r="M99">
        <f t="shared" si="3"/>
        <v>350.40986567647514</v>
      </c>
      <c r="N99">
        <f t="shared" si="3"/>
        <v>350.44135547871332</v>
      </c>
      <c r="O99">
        <f t="shared" si="3"/>
        <v>350.47135283389684</v>
      </c>
      <c r="P99">
        <f t="shared" si="3"/>
        <v>350.49985774202554</v>
      </c>
      <c r="Q99">
        <f t="shared" si="3"/>
        <v>350.52687020309952</v>
      </c>
      <c r="R99">
        <f t="shared" si="3"/>
        <v>350.55239021711867</v>
      </c>
      <c r="S99">
        <f t="shared" si="3"/>
        <v>350.57641778408311</v>
      </c>
      <c r="T99">
        <f t="shared" si="3"/>
        <v>350.59895290399282</v>
      </c>
      <c r="U99">
        <f t="shared" si="3"/>
        <v>350.61999557684771</v>
      </c>
      <c r="V99">
        <f t="shared" si="3"/>
        <v>350.0128830660812</v>
      </c>
    </row>
    <row r="100" spans="1:22">
      <c r="A100">
        <v>33</v>
      </c>
      <c r="B100">
        <v>33</v>
      </c>
      <c r="C100">
        <f t="shared" si="1"/>
        <v>350.66885801869284</v>
      </c>
      <c r="D100">
        <f t="shared" si="3"/>
        <v>350.71527229147864</v>
      </c>
      <c r="E100">
        <f t="shared" si="3"/>
        <v>350.76019411720972</v>
      </c>
      <c r="F100">
        <f t="shared" si="3"/>
        <v>350.80362349588597</v>
      </c>
      <c r="G100">
        <f t="shared" si="3"/>
        <v>350.84556042750751</v>
      </c>
      <c r="H100">
        <f t="shared" si="3"/>
        <v>350.88600491207427</v>
      </c>
      <c r="I100">
        <f t="shared" si="3"/>
        <v>350.92495694958626</v>
      </c>
      <c r="J100">
        <f t="shared" si="3"/>
        <v>350.96241654004353</v>
      </c>
      <c r="K100">
        <f t="shared" si="3"/>
        <v>350.99838368344604</v>
      </c>
      <c r="L100">
        <f t="shared" si="3"/>
        <v>351.03285837979382</v>
      </c>
      <c r="M100">
        <f t="shared" si="3"/>
        <v>351.06584062908678</v>
      </c>
      <c r="N100">
        <f t="shared" si="3"/>
        <v>351.09733043132496</v>
      </c>
      <c r="O100">
        <f t="shared" si="3"/>
        <v>351.12732778650849</v>
      </c>
      <c r="P100">
        <f t="shared" si="3"/>
        <v>351.15583269463718</v>
      </c>
      <c r="Q100">
        <f t="shared" si="3"/>
        <v>351.18284515571116</v>
      </c>
      <c r="R100">
        <f t="shared" si="3"/>
        <v>351.20836516973031</v>
      </c>
      <c r="S100">
        <f t="shared" si="3"/>
        <v>351.23239273669475</v>
      </c>
      <c r="T100">
        <f t="shared" si="3"/>
        <v>351.25492785660447</v>
      </c>
      <c r="U100">
        <f t="shared" si="3"/>
        <v>351.27597052945936</v>
      </c>
      <c r="V100">
        <f t="shared" si="3"/>
        <v>350.66885801869284</v>
      </c>
    </row>
    <row r="101" spans="1:22">
      <c r="A101">
        <v>34</v>
      </c>
      <c r="B101">
        <v>34</v>
      </c>
      <c r="C101">
        <f t="shared" si="1"/>
        <v>351.32838398658299</v>
      </c>
      <c r="D101">
        <f t="shared" si="3"/>
        <v>351.37479825936879</v>
      </c>
      <c r="E101">
        <f t="shared" si="3"/>
        <v>351.41972008509987</v>
      </c>
      <c r="F101">
        <f t="shared" si="3"/>
        <v>351.46314946377612</v>
      </c>
      <c r="G101">
        <f t="shared" si="3"/>
        <v>351.50508639539765</v>
      </c>
      <c r="H101">
        <f t="shared" si="3"/>
        <v>351.54553087996442</v>
      </c>
      <c r="I101">
        <f t="shared" si="3"/>
        <v>351.58448291747641</v>
      </c>
      <c r="J101">
        <f t="shared" si="3"/>
        <v>351.62194250793368</v>
      </c>
      <c r="K101">
        <f t="shared" si="3"/>
        <v>351.65790965133618</v>
      </c>
      <c r="L101">
        <f t="shared" si="3"/>
        <v>351.69238434768397</v>
      </c>
      <c r="M101">
        <f t="shared" si="3"/>
        <v>351.72536659697693</v>
      </c>
      <c r="N101">
        <f t="shared" si="3"/>
        <v>351.75685639921511</v>
      </c>
      <c r="O101">
        <f t="shared" si="3"/>
        <v>351.78685375439863</v>
      </c>
      <c r="P101">
        <f t="shared" si="3"/>
        <v>351.81535866252733</v>
      </c>
      <c r="Q101">
        <f t="shared" si="3"/>
        <v>351.84237112360131</v>
      </c>
      <c r="R101">
        <f t="shared" si="3"/>
        <v>351.86789113762046</v>
      </c>
      <c r="S101">
        <f t="shared" si="3"/>
        <v>351.8919187045849</v>
      </c>
      <c r="T101">
        <f t="shared" si="3"/>
        <v>351.91445382449461</v>
      </c>
      <c r="U101">
        <f t="shared" si="3"/>
        <v>351.9354964973495</v>
      </c>
      <c r="V101">
        <f t="shared" si="3"/>
        <v>351.32838398658299</v>
      </c>
    </row>
    <row r="102" spans="1:22">
      <c r="A102">
        <v>35</v>
      </c>
      <c r="B102">
        <v>35</v>
      </c>
      <c r="C102">
        <f t="shared" si="1"/>
        <v>351.9914609697517</v>
      </c>
      <c r="D102">
        <f t="shared" si="3"/>
        <v>352.0378752425375</v>
      </c>
      <c r="E102">
        <f t="shared" si="3"/>
        <v>352.08279706826858</v>
      </c>
      <c r="F102">
        <f t="shared" si="3"/>
        <v>352.12622644694483</v>
      </c>
      <c r="G102">
        <f t="shared" si="3"/>
        <v>352.16816337856636</v>
      </c>
      <c r="H102">
        <f t="shared" si="3"/>
        <v>352.20860786313312</v>
      </c>
      <c r="I102">
        <f t="shared" si="3"/>
        <v>352.24755990064511</v>
      </c>
      <c r="J102">
        <f t="shared" si="3"/>
        <v>352.28501949110239</v>
      </c>
      <c r="K102">
        <f t="shared" si="3"/>
        <v>352.32098663450489</v>
      </c>
      <c r="L102">
        <f t="shared" si="3"/>
        <v>352.35546133085268</v>
      </c>
      <c r="M102">
        <f t="shared" si="3"/>
        <v>352.38844358014563</v>
      </c>
      <c r="N102">
        <f t="shared" si="3"/>
        <v>352.41993338238382</v>
      </c>
      <c r="O102">
        <f t="shared" si="3"/>
        <v>352.44993073756734</v>
      </c>
      <c r="P102">
        <f t="shared" si="3"/>
        <v>352.47843564569604</v>
      </c>
      <c r="Q102">
        <f t="shared" si="3"/>
        <v>352.50544810677002</v>
      </c>
      <c r="R102">
        <f t="shared" si="3"/>
        <v>352.53096812078917</v>
      </c>
      <c r="S102">
        <f t="shared" si="3"/>
        <v>352.5549956877536</v>
      </c>
      <c r="T102">
        <f t="shared" si="3"/>
        <v>352.57753080766332</v>
      </c>
      <c r="U102">
        <f t="shared" si="3"/>
        <v>352.59857348051821</v>
      </c>
      <c r="V102">
        <f t="shared" si="3"/>
        <v>351.9914609697517</v>
      </c>
    </row>
    <row r="103" spans="1:22">
      <c r="A103">
        <v>36</v>
      </c>
      <c r="B103">
        <v>36</v>
      </c>
      <c r="C103">
        <f t="shared" si="1"/>
        <v>352.65808896819885</v>
      </c>
      <c r="D103">
        <f t="shared" si="3"/>
        <v>352.70450324098465</v>
      </c>
      <c r="E103">
        <f t="shared" si="3"/>
        <v>352.74942506671573</v>
      </c>
      <c r="F103">
        <f t="shared" si="3"/>
        <v>352.79285444539198</v>
      </c>
      <c r="G103">
        <f t="shared" si="3"/>
        <v>352.83479137701352</v>
      </c>
      <c r="H103">
        <f t="shared" si="3"/>
        <v>352.87523586158028</v>
      </c>
      <c r="I103">
        <f t="shared" si="3"/>
        <v>352.91418789909227</v>
      </c>
      <c r="J103">
        <f t="shared" si="3"/>
        <v>352.95164748954954</v>
      </c>
      <c r="K103">
        <f t="shared" si="3"/>
        <v>352.98761463295205</v>
      </c>
      <c r="L103">
        <f t="shared" si="3"/>
        <v>353.02208932929983</v>
      </c>
      <c r="M103">
        <f t="shared" si="3"/>
        <v>353.05507157859279</v>
      </c>
      <c r="N103">
        <f t="shared" si="3"/>
        <v>353.08656138083097</v>
      </c>
      <c r="O103">
        <f t="shared" si="3"/>
        <v>353.1165587360145</v>
      </c>
      <c r="P103">
        <f t="shared" si="3"/>
        <v>353.14506364414319</v>
      </c>
      <c r="Q103">
        <f t="shared" si="3"/>
        <v>353.17207610521717</v>
      </c>
      <c r="R103">
        <f t="shared" si="3"/>
        <v>353.19759611923632</v>
      </c>
      <c r="S103">
        <f t="shared" si="3"/>
        <v>353.22162368620076</v>
      </c>
      <c r="T103">
        <f t="shared" si="3"/>
        <v>353.24415880611048</v>
      </c>
      <c r="U103">
        <f t="shared" si="3"/>
        <v>353.26520147896537</v>
      </c>
      <c r="V103">
        <f t="shared" si="3"/>
        <v>352.65808896819885</v>
      </c>
    </row>
    <row r="104" spans="1:22">
      <c r="A104">
        <v>37</v>
      </c>
      <c r="B104">
        <v>37</v>
      </c>
      <c r="C104">
        <f t="shared" si="1"/>
        <v>353.32826798192457</v>
      </c>
      <c r="D104">
        <f t="shared" si="3"/>
        <v>353.37468225471036</v>
      </c>
      <c r="E104">
        <f t="shared" si="3"/>
        <v>353.41960408044145</v>
      </c>
      <c r="F104">
        <f t="shared" si="3"/>
        <v>353.4630334591177</v>
      </c>
      <c r="G104">
        <f t="shared" si="3"/>
        <v>353.50497039073923</v>
      </c>
      <c r="H104">
        <f t="shared" si="3"/>
        <v>353.54541487530599</v>
      </c>
      <c r="I104">
        <f t="shared" si="3"/>
        <v>353.58436691281798</v>
      </c>
      <c r="J104">
        <f t="shared" si="3"/>
        <v>353.62182650327526</v>
      </c>
      <c r="K104">
        <f t="shared" si="3"/>
        <v>353.65779364667776</v>
      </c>
      <c r="L104">
        <f t="shared" si="3"/>
        <v>353.69226834302555</v>
      </c>
      <c r="M104">
        <f t="shared" si="3"/>
        <v>353.7252505923185</v>
      </c>
      <c r="N104">
        <f t="shared" si="3"/>
        <v>353.75674039455669</v>
      </c>
      <c r="O104">
        <f t="shared" si="3"/>
        <v>353.78673774974021</v>
      </c>
      <c r="P104">
        <f t="shared" si="3"/>
        <v>353.81524265786891</v>
      </c>
      <c r="Q104">
        <f t="shared" si="3"/>
        <v>353.84225511894289</v>
      </c>
      <c r="R104">
        <f t="shared" si="3"/>
        <v>353.86777513296204</v>
      </c>
      <c r="S104">
        <f t="shared" si="3"/>
        <v>353.89180269992647</v>
      </c>
      <c r="T104">
        <f t="shared" si="3"/>
        <v>353.91433781983619</v>
      </c>
      <c r="U104">
        <f t="shared" si="3"/>
        <v>353.93538049269108</v>
      </c>
      <c r="V104">
        <f t="shared" si="3"/>
        <v>353.32826798192457</v>
      </c>
    </row>
    <row r="105" spans="1:22">
      <c r="A105">
        <v>38</v>
      </c>
      <c r="B105">
        <v>38</v>
      </c>
      <c r="C105">
        <f t="shared" si="1"/>
        <v>354.00199801092879</v>
      </c>
      <c r="D105">
        <f t="shared" si="3"/>
        <v>354.04841228371458</v>
      </c>
      <c r="E105">
        <f t="shared" si="3"/>
        <v>354.09333410944566</v>
      </c>
      <c r="F105">
        <f t="shared" si="3"/>
        <v>354.13676348812191</v>
      </c>
      <c r="G105">
        <f t="shared" si="3"/>
        <v>354.17870041974345</v>
      </c>
      <c r="H105">
        <f t="shared" si="3"/>
        <v>354.21914490431021</v>
      </c>
      <c r="I105">
        <f t="shared" si="3"/>
        <v>354.2580969418222</v>
      </c>
      <c r="J105">
        <f t="shared" si="3"/>
        <v>354.29555653227948</v>
      </c>
      <c r="K105">
        <f t="shared" si="3"/>
        <v>354.33152367568198</v>
      </c>
      <c r="L105">
        <f t="shared" si="3"/>
        <v>354.36599837202976</v>
      </c>
      <c r="M105">
        <f t="shared" si="3"/>
        <v>354.39898062132272</v>
      </c>
      <c r="N105">
        <f t="shared" si="3"/>
        <v>354.43047042356091</v>
      </c>
      <c r="O105">
        <f t="shared" si="3"/>
        <v>354.46046777874443</v>
      </c>
      <c r="P105">
        <f t="shared" si="3"/>
        <v>354.48897268687313</v>
      </c>
      <c r="Q105">
        <f t="shared" si="3"/>
        <v>354.51598514794711</v>
      </c>
      <c r="R105">
        <f t="shared" si="3"/>
        <v>354.54150516196626</v>
      </c>
      <c r="S105">
        <f t="shared" si="3"/>
        <v>354.56553272893069</v>
      </c>
      <c r="T105">
        <f t="shared" si="3"/>
        <v>354.58806784884041</v>
      </c>
      <c r="U105">
        <f t="shared" si="3"/>
        <v>354.6091105216953</v>
      </c>
      <c r="V105">
        <f t="shared" si="3"/>
        <v>354.00199801092879</v>
      </c>
    </row>
    <row r="106" spans="1:22">
      <c r="A106">
        <v>39</v>
      </c>
      <c r="B106">
        <v>39</v>
      </c>
      <c r="C106">
        <f t="shared" si="1"/>
        <v>354.67927905521157</v>
      </c>
      <c r="D106">
        <f t="shared" si="3"/>
        <v>354.72569332799736</v>
      </c>
      <c r="E106">
        <f t="shared" si="3"/>
        <v>354.77061515372844</v>
      </c>
      <c r="F106">
        <f t="shared" si="3"/>
        <v>354.81404453240469</v>
      </c>
      <c r="G106">
        <f t="shared" si="3"/>
        <v>354.85598146402623</v>
      </c>
      <c r="H106">
        <f t="shared" si="3"/>
        <v>354.89642594859299</v>
      </c>
      <c r="I106">
        <f t="shared" si="3"/>
        <v>354.93537798610498</v>
      </c>
      <c r="J106">
        <f t="shared" si="3"/>
        <v>354.97283757656226</v>
      </c>
      <c r="K106">
        <f t="shared" si="3"/>
        <v>355.00880471996476</v>
      </c>
      <c r="L106">
        <f t="shared" si="3"/>
        <v>355.04327941631254</v>
      </c>
      <c r="M106">
        <f t="shared" si="3"/>
        <v>355.0762616656055</v>
      </c>
      <c r="N106">
        <f t="shared" si="3"/>
        <v>355.10775146784368</v>
      </c>
      <c r="O106">
        <f t="shared" si="3"/>
        <v>355.13774882302721</v>
      </c>
      <c r="P106">
        <f t="shared" si="3"/>
        <v>355.1662537311559</v>
      </c>
      <c r="Q106">
        <f t="shared" si="3"/>
        <v>355.19326619222988</v>
      </c>
      <c r="R106">
        <f t="shared" si="3"/>
        <v>355.21878620624904</v>
      </c>
      <c r="S106">
        <f t="shared" si="3"/>
        <v>355.24281377321347</v>
      </c>
      <c r="T106">
        <f t="shared" si="3"/>
        <v>355.26534889312319</v>
      </c>
      <c r="U106">
        <f t="shared" si="3"/>
        <v>355.28639156597808</v>
      </c>
      <c r="V106">
        <f t="shared" si="3"/>
        <v>354.67927905521157</v>
      </c>
    </row>
    <row r="107" spans="1:22">
      <c r="A107">
        <v>40</v>
      </c>
      <c r="B107">
        <v>40</v>
      </c>
      <c r="C107">
        <f t="shared" si="1"/>
        <v>355.36011111477279</v>
      </c>
      <c r="D107">
        <f t="shared" si="3"/>
        <v>355.40652538755859</v>
      </c>
      <c r="E107">
        <f t="shared" si="3"/>
        <v>355.45144721328967</v>
      </c>
      <c r="F107">
        <f t="shared" si="3"/>
        <v>355.49487659196592</v>
      </c>
      <c r="G107">
        <f t="shared" si="3"/>
        <v>355.53681352358745</v>
      </c>
      <c r="H107">
        <f t="shared" si="3"/>
        <v>355.57725800815422</v>
      </c>
      <c r="I107">
        <f t="shared" si="3"/>
        <v>355.61621004566621</v>
      </c>
      <c r="J107">
        <f t="shared" si="3"/>
        <v>355.65366963612348</v>
      </c>
      <c r="K107">
        <f t="shared" si="3"/>
        <v>355.68963677952598</v>
      </c>
      <c r="L107">
        <f t="shared" si="3"/>
        <v>355.72411147587377</v>
      </c>
      <c r="M107">
        <f t="shared" si="3"/>
        <v>355.75709372516673</v>
      </c>
      <c r="N107">
        <f t="shared" si="3"/>
        <v>355.78858352740491</v>
      </c>
      <c r="O107">
        <f t="shared" si="3"/>
        <v>355.81858088258844</v>
      </c>
      <c r="P107">
        <f t="shared" si="3"/>
        <v>355.84708579071713</v>
      </c>
      <c r="Q107">
        <f t="shared" si="3"/>
        <v>355.87409825179111</v>
      </c>
      <c r="R107">
        <f t="shared" si="3"/>
        <v>355.89961826581026</v>
      </c>
      <c r="S107">
        <f t="shared" si="3"/>
        <v>355.9236458327747</v>
      </c>
      <c r="T107">
        <f t="shared" si="3"/>
        <v>355.94618095268441</v>
      </c>
      <c r="U107">
        <f t="shared" si="3"/>
        <v>355.9672236255393</v>
      </c>
      <c r="V107">
        <f t="shared" si="3"/>
        <v>355.36011111477279</v>
      </c>
    </row>
    <row r="108" spans="1:22">
      <c r="A108">
        <v>41</v>
      </c>
      <c r="B108">
        <v>41</v>
      </c>
      <c r="C108">
        <f t="shared" si="1"/>
        <v>356.04449418961252</v>
      </c>
      <c r="D108">
        <f t="shared" si="3"/>
        <v>356.09090846239832</v>
      </c>
      <c r="E108">
        <f t="shared" ref="D108:V117" si="4">$C$65+$D$65*$A53+$E$65*($A53^2)+$F$65*E$11+$G$65*(E$11^2)</f>
        <v>356.1358302881294</v>
      </c>
      <c r="F108">
        <f t="shared" si="4"/>
        <v>356.17925966680565</v>
      </c>
      <c r="G108">
        <f t="shared" si="4"/>
        <v>356.22119659842718</v>
      </c>
      <c r="H108">
        <f t="shared" si="4"/>
        <v>356.26164108299395</v>
      </c>
      <c r="I108">
        <f t="shared" si="4"/>
        <v>356.30059312050594</v>
      </c>
      <c r="J108">
        <f t="shared" si="4"/>
        <v>356.33805271096321</v>
      </c>
      <c r="K108">
        <f t="shared" si="4"/>
        <v>356.37401985436571</v>
      </c>
      <c r="L108">
        <f t="shared" si="4"/>
        <v>356.4084945507135</v>
      </c>
      <c r="M108">
        <f t="shared" si="4"/>
        <v>356.44147680000646</v>
      </c>
      <c r="N108">
        <f t="shared" si="4"/>
        <v>356.47296660224464</v>
      </c>
      <c r="O108">
        <f t="shared" si="4"/>
        <v>356.50296395742816</v>
      </c>
      <c r="P108">
        <f t="shared" si="4"/>
        <v>356.53146886555686</v>
      </c>
      <c r="Q108">
        <f t="shared" si="4"/>
        <v>356.55848132663084</v>
      </c>
      <c r="R108">
        <f t="shared" si="4"/>
        <v>356.58400134064999</v>
      </c>
      <c r="S108">
        <f t="shared" si="4"/>
        <v>356.60802890761443</v>
      </c>
      <c r="T108">
        <f t="shared" si="4"/>
        <v>356.63056402752414</v>
      </c>
      <c r="U108">
        <f t="shared" si="4"/>
        <v>356.65160670037903</v>
      </c>
      <c r="V108">
        <f t="shared" si="4"/>
        <v>356.04449418961252</v>
      </c>
    </row>
    <row r="109" spans="1:22">
      <c r="A109">
        <v>42</v>
      </c>
      <c r="B109">
        <v>42</v>
      </c>
      <c r="C109">
        <f t="shared" si="1"/>
        <v>356.73242827973081</v>
      </c>
      <c r="D109">
        <f t="shared" si="4"/>
        <v>356.77884255251661</v>
      </c>
      <c r="E109">
        <f t="shared" si="4"/>
        <v>356.82376437824769</v>
      </c>
      <c r="F109">
        <f t="shared" si="4"/>
        <v>356.86719375692394</v>
      </c>
      <c r="G109">
        <f t="shared" si="4"/>
        <v>356.90913068854547</v>
      </c>
      <c r="H109">
        <f t="shared" si="4"/>
        <v>356.94957517311224</v>
      </c>
      <c r="I109">
        <f t="shared" si="4"/>
        <v>356.98852721062423</v>
      </c>
      <c r="J109">
        <f t="shared" si="4"/>
        <v>357.0259868010815</v>
      </c>
      <c r="K109">
        <f t="shared" si="4"/>
        <v>357.061953944484</v>
      </c>
      <c r="L109">
        <f t="shared" si="4"/>
        <v>357.09642864083179</v>
      </c>
      <c r="M109">
        <f t="shared" si="4"/>
        <v>357.12941089012475</v>
      </c>
      <c r="N109">
        <f t="shared" si="4"/>
        <v>357.16090069236293</v>
      </c>
      <c r="O109">
        <f t="shared" si="4"/>
        <v>357.19089804754645</v>
      </c>
      <c r="P109">
        <f t="shared" si="4"/>
        <v>357.21940295567515</v>
      </c>
      <c r="Q109">
        <f t="shared" si="4"/>
        <v>357.24641541674913</v>
      </c>
      <c r="R109">
        <f t="shared" si="4"/>
        <v>357.27193543076828</v>
      </c>
      <c r="S109">
        <f t="shared" si="4"/>
        <v>357.29596299773272</v>
      </c>
      <c r="T109">
        <f t="shared" si="4"/>
        <v>357.31849811764243</v>
      </c>
      <c r="U109">
        <f t="shared" si="4"/>
        <v>357.33954079049732</v>
      </c>
      <c r="V109">
        <f t="shared" si="4"/>
        <v>356.73242827973081</v>
      </c>
    </row>
    <row r="110" spans="1:22">
      <c r="A110">
        <v>43</v>
      </c>
      <c r="B110">
        <v>43</v>
      </c>
      <c r="C110">
        <f t="shared" si="1"/>
        <v>357.42391338512761</v>
      </c>
      <c r="D110">
        <f t="shared" si="4"/>
        <v>357.4703276579134</v>
      </c>
      <c r="E110">
        <f t="shared" si="4"/>
        <v>357.51524948364448</v>
      </c>
      <c r="F110">
        <f t="shared" si="4"/>
        <v>357.55867886232073</v>
      </c>
      <c r="G110">
        <f t="shared" si="4"/>
        <v>357.60061579394227</v>
      </c>
      <c r="H110">
        <f t="shared" si="4"/>
        <v>357.64106027850903</v>
      </c>
      <c r="I110">
        <f t="shared" si="4"/>
        <v>357.68001231602102</v>
      </c>
      <c r="J110">
        <f t="shared" si="4"/>
        <v>357.71747190647829</v>
      </c>
      <c r="K110">
        <f t="shared" si="4"/>
        <v>357.7534390498808</v>
      </c>
      <c r="L110">
        <f t="shared" si="4"/>
        <v>357.78791374622858</v>
      </c>
      <c r="M110">
        <f t="shared" si="4"/>
        <v>357.82089599552154</v>
      </c>
      <c r="N110">
        <f t="shared" si="4"/>
        <v>357.85238579775972</v>
      </c>
      <c r="O110">
        <f t="shared" si="4"/>
        <v>357.88238315294325</v>
      </c>
      <c r="P110">
        <f t="shared" si="4"/>
        <v>357.91088806107194</v>
      </c>
      <c r="Q110">
        <f t="shared" si="4"/>
        <v>357.93790052214592</v>
      </c>
      <c r="R110">
        <f t="shared" si="4"/>
        <v>357.96342053616507</v>
      </c>
      <c r="S110">
        <f t="shared" si="4"/>
        <v>357.98744810312951</v>
      </c>
      <c r="T110">
        <f t="shared" si="4"/>
        <v>358.00998322303923</v>
      </c>
      <c r="U110">
        <f t="shared" si="4"/>
        <v>358.03102589589412</v>
      </c>
      <c r="V110">
        <f t="shared" si="4"/>
        <v>357.42391338512761</v>
      </c>
    </row>
    <row r="111" spans="1:22">
      <c r="A111">
        <v>44</v>
      </c>
      <c r="B111">
        <v>44</v>
      </c>
      <c r="C111">
        <f t="shared" si="1"/>
        <v>358.1189495058029</v>
      </c>
      <c r="D111">
        <f t="shared" si="4"/>
        <v>358.1653637785887</v>
      </c>
      <c r="E111">
        <f t="shared" si="4"/>
        <v>358.21028560431978</v>
      </c>
      <c r="F111">
        <f t="shared" si="4"/>
        <v>358.25371498299603</v>
      </c>
      <c r="G111">
        <f t="shared" si="4"/>
        <v>358.29565191461757</v>
      </c>
      <c r="H111">
        <f t="shared" si="4"/>
        <v>358.33609639918433</v>
      </c>
      <c r="I111">
        <f t="shared" si="4"/>
        <v>358.37504843669632</v>
      </c>
      <c r="J111">
        <f t="shared" si="4"/>
        <v>358.41250802715359</v>
      </c>
      <c r="K111">
        <f t="shared" si="4"/>
        <v>358.44847517055609</v>
      </c>
      <c r="L111">
        <f t="shared" si="4"/>
        <v>358.48294986690388</v>
      </c>
      <c r="M111">
        <f t="shared" si="4"/>
        <v>358.51593211619684</v>
      </c>
      <c r="N111">
        <f t="shared" si="4"/>
        <v>358.54742191843502</v>
      </c>
      <c r="O111">
        <f t="shared" si="4"/>
        <v>358.57741927361855</v>
      </c>
      <c r="P111">
        <f t="shared" si="4"/>
        <v>358.60592418174724</v>
      </c>
      <c r="Q111">
        <f t="shared" si="4"/>
        <v>358.63293664282122</v>
      </c>
      <c r="R111">
        <f t="shared" si="4"/>
        <v>358.65845665684037</v>
      </c>
      <c r="S111">
        <f t="shared" si="4"/>
        <v>358.68248422380481</v>
      </c>
      <c r="T111">
        <f t="shared" si="4"/>
        <v>358.70501934371453</v>
      </c>
      <c r="U111">
        <f t="shared" si="4"/>
        <v>358.72606201656941</v>
      </c>
      <c r="V111">
        <f t="shared" si="4"/>
        <v>358.1189495058029</v>
      </c>
    </row>
    <row r="112" spans="1:22">
      <c r="A112">
        <v>45</v>
      </c>
      <c r="B112">
        <v>45</v>
      </c>
      <c r="C112">
        <f t="shared" si="1"/>
        <v>358.81753664175676</v>
      </c>
      <c r="D112">
        <f t="shared" si="4"/>
        <v>358.86395091454256</v>
      </c>
      <c r="E112">
        <f t="shared" si="4"/>
        <v>358.90887274027364</v>
      </c>
      <c r="F112">
        <f t="shared" si="4"/>
        <v>358.95230211894989</v>
      </c>
      <c r="G112">
        <f t="shared" si="4"/>
        <v>358.99423905057142</v>
      </c>
      <c r="H112">
        <f t="shared" si="4"/>
        <v>359.03468353513819</v>
      </c>
      <c r="I112">
        <f t="shared" si="4"/>
        <v>359.07363557265018</v>
      </c>
      <c r="J112">
        <f t="shared" si="4"/>
        <v>359.11109516310745</v>
      </c>
      <c r="K112">
        <f t="shared" si="4"/>
        <v>359.14706230650995</v>
      </c>
      <c r="L112">
        <f t="shared" si="4"/>
        <v>359.18153700285774</v>
      </c>
      <c r="M112">
        <f t="shared" si="4"/>
        <v>359.21451925215069</v>
      </c>
      <c r="N112">
        <f t="shared" si="4"/>
        <v>359.24600905438888</v>
      </c>
      <c r="O112">
        <f t="shared" si="4"/>
        <v>359.2760064095724</v>
      </c>
      <c r="P112">
        <f t="shared" si="4"/>
        <v>359.3045113177011</v>
      </c>
      <c r="Q112">
        <f t="shared" si="4"/>
        <v>359.33152377877508</v>
      </c>
      <c r="R112">
        <f t="shared" si="4"/>
        <v>359.35704379279423</v>
      </c>
      <c r="S112">
        <f t="shared" si="4"/>
        <v>359.38107135975866</v>
      </c>
      <c r="T112">
        <f t="shared" si="4"/>
        <v>359.40360647966838</v>
      </c>
      <c r="U112">
        <f t="shared" si="4"/>
        <v>359.42464915252327</v>
      </c>
      <c r="V112">
        <f t="shared" si="4"/>
        <v>358.81753664175676</v>
      </c>
    </row>
    <row r="113" spans="1:22">
      <c r="A113">
        <v>46</v>
      </c>
      <c r="B113">
        <v>46</v>
      </c>
      <c r="C113">
        <f t="shared" si="1"/>
        <v>359.51967479298912</v>
      </c>
      <c r="D113">
        <f t="shared" si="4"/>
        <v>359.56608906577492</v>
      </c>
      <c r="E113">
        <f t="shared" si="4"/>
        <v>359.611010891506</v>
      </c>
      <c r="F113">
        <f t="shared" si="4"/>
        <v>359.65444027018225</v>
      </c>
      <c r="G113">
        <f t="shared" si="4"/>
        <v>359.69637720180378</v>
      </c>
      <c r="H113">
        <f t="shared" si="4"/>
        <v>359.73682168637055</v>
      </c>
      <c r="I113">
        <f t="shared" si="4"/>
        <v>359.77577372388254</v>
      </c>
      <c r="J113">
        <f t="shared" si="4"/>
        <v>359.81323331433981</v>
      </c>
      <c r="K113">
        <f t="shared" si="4"/>
        <v>359.84920045774231</v>
      </c>
      <c r="L113">
        <f t="shared" si="4"/>
        <v>359.8836751540901</v>
      </c>
      <c r="M113">
        <f t="shared" si="4"/>
        <v>359.91665740338306</v>
      </c>
      <c r="N113">
        <f t="shared" si="4"/>
        <v>359.94814720562124</v>
      </c>
      <c r="O113">
        <f t="shared" si="4"/>
        <v>359.97814456080476</v>
      </c>
      <c r="P113">
        <f t="shared" si="4"/>
        <v>360.00664946893346</v>
      </c>
      <c r="Q113">
        <f t="shared" si="4"/>
        <v>360.03366193000744</v>
      </c>
      <c r="R113">
        <f t="shared" si="4"/>
        <v>360.05918194402659</v>
      </c>
      <c r="S113">
        <f t="shared" si="4"/>
        <v>360.08320951099103</v>
      </c>
      <c r="T113">
        <f t="shared" si="4"/>
        <v>360.10574463090074</v>
      </c>
      <c r="U113">
        <f t="shared" si="4"/>
        <v>360.12678730375563</v>
      </c>
      <c r="V113">
        <f t="shared" si="4"/>
        <v>359.51967479298912</v>
      </c>
    </row>
    <row r="114" spans="1:22">
      <c r="A114">
        <v>47</v>
      </c>
      <c r="B114">
        <v>47</v>
      </c>
      <c r="C114">
        <f t="shared" si="1"/>
        <v>360.22536395949993</v>
      </c>
      <c r="D114">
        <f t="shared" si="4"/>
        <v>360.27177823228573</v>
      </c>
      <c r="E114">
        <f t="shared" si="4"/>
        <v>360.31670005801681</v>
      </c>
      <c r="F114">
        <f t="shared" si="4"/>
        <v>360.36012943669306</v>
      </c>
      <c r="G114">
        <f t="shared" si="4"/>
        <v>360.40206636831459</v>
      </c>
      <c r="H114">
        <f t="shared" si="4"/>
        <v>360.44251085288136</v>
      </c>
      <c r="I114">
        <f t="shared" si="4"/>
        <v>360.48146289039335</v>
      </c>
      <c r="J114">
        <f t="shared" si="4"/>
        <v>360.51892248085062</v>
      </c>
      <c r="K114">
        <f t="shared" si="4"/>
        <v>360.55488962425312</v>
      </c>
      <c r="L114">
        <f t="shared" si="4"/>
        <v>360.58936432060091</v>
      </c>
      <c r="M114">
        <f t="shared" si="4"/>
        <v>360.62234656989386</v>
      </c>
      <c r="N114">
        <f t="shared" si="4"/>
        <v>360.65383637213205</v>
      </c>
      <c r="O114">
        <f t="shared" si="4"/>
        <v>360.68383372731557</v>
      </c>
      <c r="P114">
        <f t="shared" si="4"/>
        <v>360.71233863544427</v>
      </c>
      <c r="Q114">
        <f t="shared" si="4"/>
        <v>360.73935109651825</v>
      </c>
      <c r="R114">
        <f t="shared" si="4"/>
        <v>360.7648711105374</v>
      </c>
      <c r="S114">
        <f t="shared" si="4"/>
        <v>360.78889867750183</v>
      </c>
      <c r="T114">
        <f t="shared" si="4"/>
        <v>360.81143379741155</v>
      </c>
      <c r="U114">
        <f t="shared" si="4"/>
        <v>360.83247647026644</v>
      </c>
      <c r="V114">
        <f t="shared" si="4"/>
        <v>360.22536395949993</v>
      </c>
    </row>
    <row r="115" spans="1:22">
      <c r="A115">
        <v>48</v>
      </c>
      <c r="B115">
        <v>48</v>
      </c>
      <c r="C115">
        <f t="shared" si="1"/>
        <v>360.9346041412893</v>
      </c>
      <c r="D115">
        <f t="shared" si="4"/>
        <v>360.98101841407509</v>
      </c>
      <c r="E115">
        <f t="shared" si="4"/>
        <v>361.02594023980618</v>
      </c>
      <c r="F115">
        <f t="shared" si="4"/>
        <v>361.06936961848243</v>
      </c>
      <c r="G115">
        <f t="shared" si="4"/>
        <v>361.11130655010396</v>
      </c>
      <c r="H115">
        <f t="shared" si="4"/>
        <v>361.15175103467072</v>
      </c>
      <c r="I115">
        <f t="shared" si="4"/>
        <v>361.19070307218271</v>
      </c>
      <c r="J115">
        <f t="shared" si="4"/>
        <v>361.22816266263999</v>
      </c>
      <c r="K115">
        <f t="shared" si="4"/>
        <v>361.26412980604249</v>
      </c>
      <c r="L115">
        <f t="shared" si="4"/>
        <v>361.29860450239028</v>
      </c>
      <c r="M115">
        <f t="shared" si="4"/>
        <v>361.33158675168323</v>
      </c>
      <c r="N115">
        <f t="shared" si="4"/>
        <v>361.36307655392142</v>
      </c>
      <c r="O115">
        <f t="shared" si="4"/>
        <v>361.39307390910494</v>
      </c>
      <c r="P115">
        <f t="shared" si="4"/>
        <v>361.42157881723364</v>
      </c>
      <c r="Q115">
        <f t="shared" si="4"/>
        <v>361.44859127830762</v>
      </c>
      <c r="R115">
        <f t="shared" si="4"/>
        <v>361.47411129232677</v>
      </c>
      <c r="S115">
        <f t="shared" si="4"/>
        <v>361.4981388592912</v>
      </c>
      <c r="T115">
        <f t="shared" si="4"/>
        <v>361.52067397920092</v>
      </c>
      <c r="U115">
        <f t="shared" si="4"/>
        <v>361.54171665205581</v>
      </c>
      <c r="V115">
        <f t="shared" si="4"/>
        <v>360.9346041412893</v>
      </c>
    </row>
    <row r="116" spans="1:22">
      <c r="A116">
        <v>49</v>
      </c>
      <c r="B116">
        <v>49</v>
      </c>
      <c r="C116">
        <f t="shared" si="1"/>
        <v>361.64739533835711</v>
      </c>
      <c r="D116">
        <f t="shared" si="4"/>
        <v>361.69380961114291</v>
      </c>
      <c r="E116">
        <f t="shared" si="4"/>
        <v>361.73873143687399</v>
      </c>
      <c r="F116">
        <f t="shared" si="4"/>
        <v>361.78216081555024</v>
      </c>
      <c r="G116">
        <f t="shared" si="4"/>
        <v>361.82409774717178</v>
      </c>
      <c r="H116">
        <f t="shared" si="4"/>
        <v>361.86454223173854</v>
      </c>
      <c r="I116">
        <f t="shared" si="4"/>
        <v>361.90349426925053</v>
      </c>
      <c r="J116">
        <f t="shared" si="4"/>
        <v>361.9409538597078</v>
      </c>
      <c r="K116">
        <f t="shared" si="4"/>
        <v>361.97692100311031</v>
      </c>
      <c r="L116">
        <f t="shared" si="4"/>
        <v>362.01139569945809</v>
      </c>
      <c r="M116">
        <f t="shared" si="4"/>
        <v>362.04437794875105</v>
      </c>
      <c r="N116">
        <f t="shared" si="4"/>
        <v>362.07586775098923</v>
      </c>
      <c r="O116">
        <f t="shared" si="4"/>
        <v>362.10586510617276</v>
      </c>
      <c r="P116">
        <f t="shared" si="4"/>
        <v>362.13437001430145</v>
      </c>
      <c r="Q116">
        <f t="shared" si="4"/>
        <v>362.16138247537543</v>
      </c>
      <c r="R116">
        <f t="shared" si="4"/>
        <v>362.18690248939458</v>
      </c>
      <c r="S116">
        <f t="shared" si="4"/>
        <v>362.21093005635902</v>
      </c>
      <c r="T116">
        <f t="shared" si="4"/>
        <v>362.23346517626874</v>
      </c>
      <c r="U116">
        <f t="shared" si="4"/>
        <v>362.25450784912363</v>
      </c>
      <c r="V116">
        <f t="shared" si="4"/>
        <v>361.64739533835711</v>
      </c>
    </row>
    <row r="117" spans="1:22">
      <c r="A117">
        <v>50</v>
      </c>
      <c r="B117">
        <v>50</v>
      </c>
      <c r="C117">
        <f t="shared" si="1"/>
        <v>362.36373755070349</v>
      </c>
      <c r="D117">
        <f t="shared" si="4"/>
        <v>362.41015182348929</v>
      </c>
      <c r="E117">
        <f t="shared" si="4"/>
        <v>362.45507364922037</v>
      </c>
      <c r="F117">
        <f t="shared" si="4"/>
        <v>362.49850302789662</v>
      </c>
      <c r="G117">
        <f t="shared" si="4"/>
        <v>362.54043995951815</v>
      </c>
      <c r="H117">
        <f t="shared" si="4"/>
        <v>362.58088444408492</v>
      </c>
      <c r="I117">
        <f t="shared" si="4"/>
        <v>362.61983648159691</v>
      </c>
      <c r="J117">
        <f t="shared" si="4"/>
        <v>362.65729607205418</v>
      </c>
      <c r="K117">
        <f t="shared" si="4"/>
        <v>362.69326321545668</v>
      </c>
      <c r="L117">
        <f t="shared" si="4"/>
        <v>362.72773791180447</v>
      </c>
      <c r="M117">
        <f t="shared" si="4"/>
        <v>362.76072016109742</v>
      </c>
      <c r="N117">
        <f t="shared" si="4"/>
        <v>362.79220996333561</v>
      </c>
      <c r="O117">
        <f t="shared" si="4"/>
        <v>362.82220731851913</v>
      </c>
      <c r="P117">
        <f t="shared" si="4"/>
        <v>362.85071222664783</v>
      </c>
      <c r="Q117">
        <f t="shared" si="4"/>
        <v>362.87772468772181</v>
      </c>
      <c r="R117">
        <f t="shared" si="4"/>
        <v>362.90324470174096</v>
      </c>
      <c r="S117">
        <f t="shared" si="4"/>
        <v>362.92727226870539</v>
      </c>
      <c r="T117">
        <f t="shared" si="4"/>
        <v>362.94980738861511</v>
      </c>
      <c r="U117">
        <f t="shared" si="4"/>
        <v>362.97085006147</v>
      </c>
      <c r="V117">
        <f t="shared" si="4"/>
        <v>362.36373755070349</v>
      </c>
    </row>
    <row r="119" spans="1:22">
      <c r="A119" t="s">
        <v>2</v>
      </c>
    </row>
    <row r="120" spans="1:22">
      <c r="A120">
        <v>0</v>
      </c>
      <c r="B120">
        <v>0</v>
      </c>
      <c r="C120">
        <f>ABS(C12-C67)</f>
        <v>0.60337935043725111</v>
      </c>
      <c r="D120">
        <f t="shared" ref="D120:U120" si="5">ABS(D12-D67)</f>
        <v>0.55696507765145498</v>
      </c>
      <c r="E120">
        <f t="shared" si="5"/>
        <v>0.51204325192037459</v>
      </c>
      <c r="F120">
        <f t="shared" si="5"/>
        <v>0.46861387324412362</v>
      </c>
      <c r="G120">
        <f t="shared" si="5"/>
        <v>0.4266769416225884</v>
      </c>
      <c r="H120">
        <f t="shared" si="5"/>
        <v>0.38623245705582576</v>
      </c>
      <c r="I120">
        <f t="shared" si="5"/>
        <v>0.34728041954383571</v>
      </c>
      <c r="J120">
        <f t="shared" si="5"/>
        <v>0.30982082908656139</v>
      </c>
      <c r="K120">
        <f t="shared" si="5"/>
        <v>0.27385368568405966</v>
      </c>
      <c r="L120">
        <f t="shared" si="5"/>
        <v>0.23937898933627366</v>
      </c>
      <c r="M120">
        <f t="shared" si="5"/>
        <v>0.2063967400433171</v>
      </c>
      <c r="N120">
        <f t="shared" si="5"/>
        <v>0.17490693780513311</v>
      </c>
      <c r="O120">
        <f t="shared" si="5"/>
        <v>0.14490958262160802</v>
      </c>
      <c r="P120">
        <f t="shared" si="5"/>
        <v>0.11640467449291236</v>
      </c>
      <c r="Q120">
        <f t="shared" si="5"/>
        <v>8.9392213418932442E-2</v>
      </c>
      <c r="R120">
        <f t="shared" si="5"/>
        <v>6.3872199399781948E-2</v>
      </c>
      <c r="S120">
        <f t="shared" si="5"/>
        <v>3.9844632435347194E-2</v>
      </c>
      <c r="T120">
        <f t="shared" si="5"/>
        <v>1.7309512525628179E-2</v>
      </c>
      <c r="U120">
        <f t="shared" si="5"/>
        <v>3.7331603292614091E-3</v>
      </c>
    </row>
    <row r="121" spans="1:22">
      <c r="A121">
        <v>1</v>
      </c>
      <c r="B121">
        <v>1</v>
      </c>
      <c r="C121">
        <f t="shared" ref="C121:U121" si="6">ABS(C12-C68)</f>
        <v>6.1036886738008889E-2</v>
      </c>
      <c r="D121">
        <f t="shared" si="6"/>
        <v>1.462261395221276E-2</v>
      </c>
      <c r="E121">
        <f t="shared" si="6"/>
        <v>3.029921177886763E-2</v>
      </c>
      <c r="F121">
        <f t="shared" si="6"/>
        <v>7.3728590455118592E-2</v>
      </c>
      <c r="G121">
        <f t="shared" si="6"/>
        <v>0.11566552207665382</v>
      </c>
      <c r="H121">
        <f t="shared" si="6"/>
        <v>0.15611000664341645</v>
      </c>
      <c r="I121">
        <f t="shared" si="6"/>
        <v>0.19506204415540651</v>
      </c>
      <c r="J121">
        <f t="shared" si="6"/>
        <v>0.23252163461268083</v>
      </c>
      <c r="K121">
        <f t="shared" si="6"/>
        <v>0.26848877801518256</v>
      </c>
      <c r="L121">
        <f t="shared" si="6"/>
        <v>0.30296347436296855</v>
      </c>
      <c r="M121">
        <f t="shared" si="6"/>
        <v>0.33594572365592512</v>
      </c>
      <c r="N121">
        <f t="shared" si="6"/>
        <v>0.36743552589410911</v>
      </c>
      <c r="O121">
        <f t="shared" si="6"/>
        <v>0.39743288107763419</v>
      </c>
      <c r="P121">
        <f t="shared" si="6"/>
        <v>0.42593778920632985</v>
      </c>
      <c r="Q121">
        <f t="shared" si="6"/>
        <v>0.45295025028030977</v>
      </c>
      <c r="R121">
        <f t="shared" si="6"/>
        <v>0.47847026429946027</v>
      </c>
      <c r="S121">
        <f t="shared" si="6"/>
        <v>0.50249783126389502</v>
      </c>
      <c r="T121">
        <f t="shared" si="6"/>
        <v>0.52503295117361404</v>
      </c>
      <c r="U121">
        <f t="shared" si="6"/>
        <v>0.54607562402850363</v>
      </c>
    </row>
    <row r="122" spans="1:22">
      <c r="A122">
        <v>2</v>
      </c>
      <c r="B122">
        <v>2</v>
      </c>
      <c r="C122">
        <f t="shared" ref="C122:U122" si="7">ABS(C13-C69)</f>
        <v>0.11514340776028575</v>
      </c>
      <c r="D122">
        <f t="shared" si="7"/>
        <v>6.8729134974489625E-2</v>
      </c>
      <c r="E122">
        <f t="shared" si="7"/>
        <v>2.3807309243409236E-2</v>
      </c>
      <c r="F122">
        <f t="shared" si="7"/>
        <v>1.9622069432841727E-2</v>
      </c>
      <c r="G122">
        <f t="shared" si="7"/>
        <v>6.1559001054376949E-2</v>
      </c>
      <c r="H122">
        <f t="shared" si="7"/>
        <v>0.10200348562113959</v>
      </c>
      <c r="I122">
        <f t="shared" si="7"/>
        <v>0.14095552313312965</v>
      </c>
      <c r="J122">
        <f t="shared" si="7"/>
        <v>0.17841511359040396</v>
      </c>
      <c r="K122">
        <f t="shared" si="7"/>
        <v>0.2143822569929057</v>
      </c>
      <c r="L122">
        <f t="shared" si="7"/>
        <v>0.24885695334069169</v>
      </c>
      <c r="M122">
        <f t="shared" si="7"/>
        <v>0.28183920263364826</v>
      </c>
      <c r="N122">
        <f t="shared" si="7"/>
        <v>0.31332900487183224</v>
      </c>
      <c r="O122">
        <f t="shared" si="7"/>
        <v>0.34332636005535733</v>
      </c>
      <c r="P122">
        <f t="shared" si="7"/>
        <v>0.37183126818405299</v>
      </c>
      <c r="Q122">
        <f t="shared" si="7"/>
        <v>0.39884372925803291</v>
      </c>
      <c r="R122">
        <f t="shared" si="7"/>
        <v>0.4243637432771834</v>
      </c>
      <c r="S122">
        <f t="shared" si="7"/>
        <v>0.44839131024161816</v>
      </c>
      <c r="T122">
        <f t="shared" si="7"/>
        <v>0.47092643015133717</v>
      </c>
      <c r="U122">
        <f t="shared" si="7"/>
        <v>0.49196910300622676</v>
      </c>
    </row>
    <row r="123" spans="1:22">
      <c r="A123">
        <v>3</v>
      </c>
      <c r="B123">
        <v>3</v>
      </c>
      <c r="C123">
        <f t="shared" ref="C123:U123" si="8">ABS(C14-C70)</f>
        <v>0.16569891350394528</v>
      </c>
      <c r="D123">
        <f t="shared" si="8"/>
        <v>0.11928464071814915</v>
      </c>
      <c r="E123">
        <f t="shared" si="8"/>
        <v>7.4362814987068759E-2</v>
      </c>
      <c r="F123">
        <f t="shared" si="8"/>
        <v>3.0933436310817797E-2</v>
      </c>
      <c r="G123">
        <f t="shared" si="8"/>
        <v>1.1003495310717426E-2</v>
      </c>
      <c r="H123">
        <f t="shared" si="8"/>
        <v>5.1447979877480066E-2</v>
      </c>
      <c r="I123">
        <f t="shared" si="8"/>
        <v>9.0400017389470122E-2</v>
      </c>
      <c r="J123">
        <f t="shared" si="8"/>
        <v>0.12785960784674444</v>
      </c>
      <c r="K123">
        <f t="shared" si="8"/>
        <v>0.16382675124924617</v>
      </c>
      <c r="L123">
        <f t="shared" si="8"/>
        <v>0.19830144759703217</v>
      </c>
      <c r="M123">
        <f t="shared" si="8"/>
        <v>0.23128369688998873</v>
      </c>
      <c r="N123">
        <f t="shared" si="8"/>
        <v>0.26277349912817272</v>
      </c>
      <c r="O123">
        <f t="shared" si="8"/>
        <v>0.2927708543116978</v>
      </c>
      <c r="P123">
        <f t="shared" si="8"/>
        <v>0.32127576244039346</v>
      </c>
      <c r="Q123">
        <f t="shared" si="8"/>
        <v>0.34828822351437339</v>
      </c>
      <c r="R123">
        <f t="shared" si="8"/>
        <v>0.37380823753352388</v>
      </c>
      <c r="S123">
        <f t="shared" si="8"/>
        <v>0.39783580449795863</v>
      </c>
      <c r="T123">
        <f t="shared" si="8"/>
        <v>0.42037092440767765</v>
      </c>
      <c r="U123">
        <f t="shared" si="8"/>
        <v>0.44141359726256724</v>
      </c>
    </row>
    <row r="124" spans="1:22">
      <c r="A124">
        <v>4</v>
      </c>
      <c r="B124">
        <v>4</v>
      </c>
      <c r="C124">
        <f t="shared" ref="C124:U124" si="9">ABS(C15-C71)</f>
        <v>0.21270340396921483</v>
      </c>
      <c r="D124">
        <f t="shared" si="9"/>
        <v>0.1662891311834187</v>
      </c>
      <c r="E124">
        <f t="shared" si="9"/>
        <v>0.12136730545233831</v>
      </c>
      <c r="F124">
        <f t="shared" si="9"/>
        <v>7.7937926776087352E-2</v>
      </c>
      <c r="G124">
        <f t="shared" si="9"/>
        <v>3.6000995154552129E-2</v>
      </c>
      <c r="H124">
        <f t="shared" si="9"/>
        <v>4.4434894122105106E-3</v>
      </c>
      <c r="I124">
        <f t="shared" si="9"/>
        <v>4.3395526924200567E-2</v>
      </c>
      <c r="J124">
        <f t="shared" si="9"/>
        <v>8.0855117381474884E-2</v>
      </c>
      <c r="K124">
        <f t="shared" si="9"/>
        <v>0.11682226078397662</v>
      </c>
      <c r="L124">
        <f t="shared" si="9"/>
        <v>0.15129695713176261</v>
      </c>
      <c r="M124">
        <f t="shared" si="9"/>
        <v>0.18427920642471918</v>
      </c>
      <c r="N124">
        <f t="shared" si="9"/>
        <v>0.21576900866290316</v>
      </c>
      <c r="O124">
        <f t="shared" si="9"/>
        <v>0.24576636384642825</v>
      </c>
      <c r="P124">
        <f t="shared" si="9"/>
        <v>0.27427127197512391</v>
      </c>
      <c r="Q124">
        <f t="shared" si="9"/>
        <v>0.30128373304910383</v>
      </c>
      <c r="R124">
        <f t="shared" si="9"/>
        <v>0.32680374706825432</v>
      </c>
      <c r="S124">
        <f t="shared" si="9"/>
        <v>0.35083131403268908</v>
      </c>
      <c r="T124">
        <f t="shared" si="9"/>
        <v>0.37336643394240809</v>
      </c>
      <c r="U124">
        <f t="shared" si="9"/>
        <v>0.39440910679729768</v>
      </c>
    </row>
    <row r="125" spans="1:22">
      <c r="A125">
        <v>5</v>
      </c>
      <c r="B125">
        <v>5</v>
      </c>
      <c r="C125">
        <f t="shared" ref="C125:U125" si="10">ABS(C16-C72)</f>
        <v>0.25615687915586705</v>
      </c>
      <c r="D125">
        <f t="shared" si="10"/>
        <v>0.20974260637007092</v>
      </c>
      <c r="E125">
        <f t="shared" si="10"/>
        <v>0.16482078063899053</v>
      </c>
      <c r="F125">
        <f t="shared" si="10"/>
        <v>0.12139140196273956</v>
      </c>
      <c r="G125">
        <f t="shared" si="10"/>
        <v>7.9454470341204342E-2</v>
      </c>
      <c r="H125">
        <f t="shared" si="10"/>
        <v>3.9009985774441702E-2</v>
      </c>
      <c r="I125">
        <f t="shared" si="10"/>
        <v>5.794826245164586E-5</v>
      </c>
      <c r="J125">
        <f t="shared" si="10"/>
        <v>3.7401642194822671E-2</v>
      </c>
      <c r="K125">
        <f t="shared" si="10"/>
        <v>7.3368785597324404E-2</v>
      </c>
      <c r="L125">
        <f t="shared" si="10"/>
        <v>0.1078434819451104</v>
      </c>
      <c r="M125">
        <f t="shared" si="10"/>
        <v>0.14082573123806696</v>
      </c>
      <c r="N125">
        <f t="shared" si="10"/>
        <v>0.17231553347625095</v>
      </c>
      <c r="O125">
        <f t="shared" si="10"/>
        <v>0.20231288865977604</v>
      </c>
      <c r="P125">
        <f t="shared" si="10"/>
        <v>0.2308177967884717</v>
      </c>
      <c r="Q125">
        <f t="shared" si="10"/>
        <v>0.25783025786245162</v>
      </c>
      <c r="R125">
        <f t="shared" si="10"/>
        <v>0.28335027188160211</v>
      </c>
      <c r="S125">
        <f t="shared" si="10"/>
        <v>0.30737783884603687</v>
      </c>
      <c r="T125">
        <f t="shared" si="10"/>
        <v>0.32991295875575588</v>
      </c>
      <c r="U125">
        <f t="shared" si="10"/>
        <v>0.35095563161064547</v>
      </c>
    </row>
    <row r="126" spans="1:22">
      <c r="A126">
        <v>6</v>
      </c>
      <c r="B126">
        <v>6</v>
      </c>
      <c r="C126">
        <f t="shared" ref="C126:U126" si="11">ABS(C17-C73)</f>
        <v>0.29605933906407245</v>
      </c>
      <c r="D126">
        <f t="shared" si="11"/>
        <v>0.24964506627827632</v>
      </c>
      <c r="E126">
        <f t="shared" si="11"/>
        <v>0.20472324054719593</v>
      </c>
      <c r="F126">
        <f t="shared" si="11"/>
        <v>0.16129386187094497</v>
      </c>
      <c r="G126">
        <f t="shared" si="11"/>
        <v>0.11935693024940974</v>
      </c>
      <c r="H126">
        <f t="shared" si="11"/>
        <v>7.8912445682647103E-2</v>
      </c>
      <c r="I126">
        <f t="shared" si="11"/>
        <v>3.9960408170657047E-2</v>
      </c>
      <c r="J126">
        <f t="shared" si="11"/>
        <v>2.5008177133827303E-3</v>
      </c>
      <c r="K126">
        <f t="shared" si="11"/>
        <v>3.3466325689119003E-2</v>
      </c>
      <c r="L126">
        <f t="shared" si="11"/>
        <v>6.7941022036904997E-2</v>
      </c>
      <c r="M126">
        <f t="shared" si="11"/>
        <v>0.10092327132986156</v>
      </c>
      <c r="N126">
        <f t="shared" si="11"/>
        <v>0.13241307356804555</v>
      </c>
      <c r="O126">
        <f t="shared" si="11"/>
        <v>0.16241042875157063</v>
      </c>
      <c r="P126">
        <f t="shared" si="11"/>
        <v>0.1909153368802663</v>
      </c>
      <c r="Q126">
        <f t="shared" si="11"/>
        <v>0.21792779795424622</v>
      </c>
      <c r="R126">
        <f t="shared" si="11"/>
        <v>0.24344781197339671</v>
      </c>
      <c r="S126">
        <f t="shared" si="11"/>
        <v>0.26747537893783147</v>
      </c>
      <c r="T126">
        <f t="shared" si="11"/>
        <v>0.29001049884755048</v>
      </c>
      <c r="U126">
        <f t="shared" si="11"/>
        <v>0.31105317170244007</v>
      </c>
    </row>
    <row r="127" spans="1:22">
      <c r="A127">
        <v>7</v>
      </c>
      <c r="B127">
        <v>7</v>
      </c>
      <c r="C127">
        <f t="shared" ref="C127:U127" si="12">ABS(C18-C74)</f>
        <v>0.33241078369371735</v>
      </c>
      <c r="D127">
        <f t="shared" si="12"/>
        <v>0.28599651090792122</v>
      </c>
      <c r="E127">
        <f t="shared" si="12"/>
        <v>0.24107468517684083</v>
      </c>
      <c r="F127">
        <f t="shared" si="12"/>
        <v>0.19764530650058987</v>
      </c>
      <c r="G127">
        <f t="shared" si="12"/>
        <v>0.15570837487905465</v>
      </c>
      <c r="H127">
        <f t="shared" si="12"/>
        <v>0.11526389031229201</v>
      </c>
      <c r="I127">
        <f t="shared" si="12"/>
        <v>7.6311852800301949E-2</v>
      </c>
      <c r="J127">
        <f t="shared" si="12"/>
        <v>3.8852262343027633E-2</v>
      </c>
      <c r="K127">
        <f t="shared" si="12"/>
        <v>2.8851189405258992E-3</v>
      </c>
      <c r="L127">
        <f t="shared" si="12"/>
        <v>3.1589577407260094E-2</v>
      </c>
      <c r="M127">
        <f t="shared" si="12"/>
        <v>6.4571826700216661E-2</v>
      </c>
      <c r="N127">
        <f t="shared" si="12"/>
        <v>9.6061628938400645E-2</v>
      </c>
      <c r="O127">
        <f t="shared" si="12"/>
        <v>0.12605898412192573</v>
      </c>
      <c r="P127">
        <f t="shared" si="12"/>
        <v>0.15456389225062139</v>
      </c>
      <c r="Q127">
        <f t="shared" si="12"/>
        <v>0.18157635332460131</v>
      </c>
      <c r="R127">
        <f t="shared" si="12"/>
        <v>0.20709636734375181</v>
      </c>
      <c r="S127">
        <f t="shared" si="12"/>
        <v>0.23112393430818656</v>
      </c>
      <c r="T127">
        <f t="shared" si="12"/>
        <v>0.25365905421790558</v>
      </c>
      <c r="U127">
        <f t="shared" si="12"/>
        <v>0.27470172707279517</v>
      </c>
    </row>
    <row r="128" spans="1:22">
      <c r="A128">
        <v>8</v>
      </c>
      <c r="B128">
        <v>8</v>
      </c>
      <c r="C128">
        <f t="shared" ref="C128:U128" si="13">ABS(C19-C75)</f>
        <v>0.3652112130448586</v>
      </c>
      <c r="D128">
        <f t="shared" si="13"/>
        <v>0.31879694025906247</v>
      </c>
      <c r="E128">
        <f t="shared" si="13"/>
        <v>0.27387511452798208</v>
      </c>
      <c r="F128">
        <f t="shared" si="13"/>
        <v>0.23044573585173111</v>
      </c>
      <c r="G128">
        <f t="shared" si="13"/>
        <v>0.18850880423019589</v>
      </c>
      <c r="H128">
        <f t="shared" si="13"/>
        <v>0.14806431966343325</v>
      </c>
      <c r="I128">
        <f t="shared" si="13"/>
        <v>0.1091122821514432</v>
      </c>
      <c r="J128">
        <f t="shared" si="13"/>
        <v>7.165269169416888E-2</v>
      </c>
      <c r="K128">
        <f t="shared" si="13"/>
        <v>3.5685548291667146E-2</v>
      </c>
      <c r="L128">
        <f t="shared" si="13"/>
        <v>1.2108519438811527E-3</v>
      </c>
      <c r="M128">
        <f t="shared" si="13"/>
        <v>3.1771397349075414E-2</v>
      </c>
      <c r="N128">
        <f t="shared" si="13"/>
        <v>6.3261199587259398E-2</v>
      </c>
      <c r="O128">
        <f t="shared" si="13"/>
        <v>9.3258554770784485E-2</v>
      </c>
      <c r="P128">
        <f t="shared" si="13"/>
        <v>0.12176346289948015</v>
      </c>
      <c r="Q128">
        <f t="shared" si="13"/>
        <v>0.14877592397346007</v>
      </c>
      <c r="R128">
        <f t="shared" si="13"/>
        <v>0.17429593799261056</v>
      </c>
      <c r="S128">
        <f t="shared" si="13"/>
        <v>0.19832350495704532</v>
      </c>
      <c r="T128">
        <f t="shared" si="13"/>
        <v>0.22085862486676433</v>
      </c>
      <c r="U128">
        <f t="shared" si="13"/>
        <v>0.24190129772165392</v>
      </c>
    </row>
    <row r="129" spans="1:21">
      <c r="A129">
        <v>9</v>
      </c>
      <c r="B129">
        <v>9</v>
      </c>
      <c r="C129">
        <f t="shared" ref="C129:U129" si="14">ABS(C20-C76)</f>
        <v>0.39446062711749619</v>
      </c>
      <c r="D129">
        <f t="shared" si="14"/>
        <v>0.34804635433170006</v>
      </c>
      <c r="E129">
        <f t="shared" si="14"/>
        <v>0.30312452860061967</v>
      </c>
      <c r="F129">
        <f t="shared" si="14"/>
        <v>0.25969514992436871</v>
      </c>
      <c r="G129">
        <f t="shared" si="14"/>
        <v>0.21775821830283348</v>
      </c>
      <c r="H129">
        <f t="shared" si="14"/>
        <v>0.17731373373607084</v>
      </c>
      <c r="I129">
        <f t="shared" si="14"/>
        <v>0.13836169622408079</v>
      </c>
      <c r="J129">
        <f t="shared" si="14"/>
        <v>0.10090210576680647</v>
      </c>
      <c r="K129">
        <f t="shared" si="14"/>
        <v>6.4934962364304738E-2</v>
      </c>
      <c r="L129">
        <f t="shared" si="14"/>
        <v>3.0460266016518744E-2</v>
      </c>
      <c r="M129">
        <f t="shared" si="14"/>
        <v>2.5219832764378225E-3</v>
      </c>
      <c r="N129">
        <f t="shared" si="14"/>
        <v>3.4011785514621806E-2</v>
      </c>
      <c r="O129">
        <f t="shared" si="14"/>
        <v>6.4009140698146894E-2</v>
      </c>
      <c r="P129">
        <f t="shared" si="14"/>
        <v>9.2514048826842554E-2</v>
      </c>
      <c r="Q129">
        <f t="shared" si="14"/>
        <v>0.11952650990082248</v>
      </c>
      <c r="R129">
        <f t="shared" si="14"/>
        <v>0.14504652391997297</v>
      </c>
      <c r="S129">
        <f t="shared" si="14"/>
        <v>0.16907409088440772</v>
      </c>
      <c r="T129">
        <f t="shared" si="14"/>
        <v>0.19160921079412674</v>
      </c>
      <c r="U129">
        <f t="shared" si="14"/>
        <v>0.21265188364901633</v>
      </c>
    </row>
    <row r="130" spans="1:21">
      <c r="A130">
        <v>10</v>
      </c>
      <c r="B130">
        <v>10</v>
      </c>
      <c r="C130">
        <f t="shared" ref="C130:U130" si="15">ABS(C21-C77)</f>
        <v>0.42015902591163012</v>
      </c>
      <c r="D130">
        <f t="shared" si="15"/>
        <v>0.37374475312583399</v>
      </c>
      <c r="E130">
        <f t="shared" si="15"/>
        <v>0.32882292739475361</v>
      </c>
      <c r="F130">
        <f t="shared" si="15"/>
        <v>0.28539354871850264</v>
      </c>
      <c r="G130">
        <f t="shared" si="15"/>
        <v>0.24345661709696742</v>
      </c>
      <c r="H130">
        <f t="shared" si="15"/>
        <v>0.20301213253020478</v>
      </c>
      <c r="I130">
        <f t="shared" si="15"/>
        <v>0.16406009501821472</v>
      </c>
      <c r="J130">
        <f t="shared" si="15"/>
        <v>0.12660050456094041</v>
      </c>
      <c r="K130">
        <f t="shared" si="15"/>
        <v>9.0633361158438674E-2</v>
      </c>
      <c r="L130">
        <f t="shared" si="15"/>
        <v>5.6158664810652681E-2</v>
      </c>
      <c r="M130">
        <f t="shared" si="15"/>
        <v>2.3176415517696114E-2</v>
      </c>
      <c r="N130">
        <f t="shared" si="15"/>
        <v>8.3133867204878698E-3</v>
      </c>
      <c r="O130">
        <f t="shared" si="15"/>
        <v>3.8310741904012957E-2</v>
      </c>
      <c r="P130">
        <f t="shared" si="15"/>
        <v>6.6815650032708618E-2</v>
      </c>
      <c r="Q130">
        <f t="shared" si="15"/>
        <v>9.3828111106688539E-2</v>
      </c>
      <c r="R130">
        <f t="shared" si="15"/>
        <v>0.11934812512583903</v>
      </c>
      <c r="S130">
        <f t="shared" si="15"/>
        <v>0.14337569209027379</v>
      </c>
      <c r="T130">
        <f t="shared" si="15"/>
        <v>0.1659108119999928</v>
      </c>
      <c r="U130">
        <f t="shared" si="15"/>
        <v>0.18695348485488239</v>
      </c>
    </row>
    <row r="131" spans="1:21">
      <c r="A131">
        <v>11</v>
      </c>
      <c r="B131">
        <v>11</v>
      </c>
      <c r="C131">
        <f t="shared" ref="C131:U131" si="16">ABS(C22-C78)</f>
        <v>0.34230640942723767</v>
      </c>
      <c r="D131">
        <f t="shared" si="16"/>
        <v>0.29589213664144154</v>
      </c>
      <c r="E131">
        <f t="shared" si="16"/>
        <v>0.25097031091036115</v>
      </c>
      <c r="F131">
        <f t="shared" si="16"/>
        <v>0.30754093223413292</v>
      </c>
      <c r="G131">
        <f t="shared" si="16"/>
        <v>0.2656040006125977</v>
      </c>
      <c r="H131">
        <f t="shared" si="16"/>
        <v>0.22515951604583506</v>
      </c>
      <c r="I131">
        <f t="shared" si="16"/>
        <v>0.18620747853384501</v>
      </c>
      <c r="J131">
        <f t="shared" si="16"/>
        <v>0.14874788807657069</v>
      </c>
      <c r="K131">
        <f t="shared" si="16"/>
        <v>0.11278074467406896</v>
      </c>
      <c r="L131">
        <f t="shared" si="16"/>
        <v>7.8306048326282962E-2</v>
      </c>
      <c r="M131">
        <f t="shared" si="16"/>
        <v>4.5323799033326395E-2</v>
      </c>
      <c r="N131">
        <f t="shared" si="16"/>
        <v>1.3833996795142411E-2</v>
      </c>
      <c r="O131">
        <f t="shared" si="16"/>
        <v>1.6163358388382676E-2</v>
      </c>
      <c r="P131">
        <f t="shared" si="16"/>
        <v>4.4668266517078337E-2</v>
      </c>
      <c r="Q131">
        <f t="shared" si="16"/>
        <v>7.1680727591058258E-2</v>
      </c>
      <c r="R131">
        <f t="shared" si="16"/>
        <v>9.7200741610208752E-2</v>
      </c>
      <c r="S131">
        <f t="shared" si="16"/>
        <v>0.12122830857464351</v>
      </c>
      <c r="T131">
        <f t="shared" si="16"/>
        <v>0.14376342848436252</v>
      </c>
      <c r="U131">
        <f t="shared" si="16"/>
        <v>0.16480610133925211</v>
      </c>
    </row>
    <row r="132" spans="1:21">
      <c r="A132">
        <v>12</v>
      </c>
      <c r="B132">
        <v>12</v>
      </c>
      <c r="C132">
        <f t="shared" ref="C132:U132" si="17">ABS(C23-C79)</f>
        <v>0.36090277766436429</v>
      </c>
      <c r="D132">
        <f t="shared" si="17"/>
        <v>0.31448850487856816</v>
      </c>
      <c r="E132">
        <f t="shared" si="17"/>
        <v>0.26956667914748778</v>
      </c>
      <c r="F132">
        <f t="shared" si="17"/>
        <v>0.22613730047123681</v>
      </c>
      <c r="G132">
        <f t="shared" si="17"/>
        <v>0.18420036884970159</v>
      </c>
      <c r="H132">
        <f t="shared" si="17"/>
        <v>0.14375588428293895</v>
      </c>
      <c r="I132">
        <f t="shared" si="17"/>
        <v>0.20480384677097163</v>
      </c>
      <c r="J132">
        <f t="shared" si="17"/>
        <v>0.16734425631369731</v>
      </c>
      <c r="K132">
        <f t="shared" si="17"/>
        <v>0.13137711291119558</v>
      </c>
      <c r="L132">
        <f t="shared" si="17"/>
        <v>9.6902416563409588E-2</v>
      </c>
      <c r="M132">
        <f t="shared" si="17"/>
        <v>6.3920167270453021E-2</v>
      </c>
      <c r="N132">
        <f t="shared" si="17"/>
        <v>3.2430365032269037E-2</v>
      </c>
      <c r="O132">
        <f t="shared" si="17"/>
        <v>2.43300984874395E-3</v>
      </c>
      <c r="P132">
        <f t="shared" si="17"/>
        <v>2.6071898279951711E-2</v>
      </c>
      <c r="Q132">
        <f t="shared" si="17"/>
        <v>5.3084359353931632E-2</v>
      </c>
      <c r="R132">
        <f t="shared" si="17"/>
        <v>7.8604373373082126E-2</v>
      </c>
      <c r="S132">
        <f t="shared" si="17"/>
        <v>0.10263194033751688</v>
      </c>
      <c r="T132">
        <f t="shared" si="17"/>
        <v>0.1251670602472359</v>
      </c>
      <c r="U132">
        <f t="shared" si="17"/>
        <v>0.14620973310212548</v>
      </c>
    </row>
    <row r="133" spans="1:21">
      <c r="A133">
        <v>13</v>
      </c>
      <c r="B133">
        <v>13</v>
      </c>
      <c r="C133">
        <f t="shared" ref="C133:U133" si="18">ABS(C24-C80)</f>
        <v>0.37594813062298726</v>
      </c>
      <c r="D133">
        <f t="shared" si="18"/>
        <v>0.32953385783719114</v>
      </c>
      <c r="E133">
        <f t="shared" si="18"/>
        <v>0.28461203210611075</v>
      </c>
      <c r="F133">
        <f t="shared" si="18"/>
        <v>0.24118265342985978</v>
      </c>
      <c r="G133">
        <f t="shared" si="18"/>
        <v>0.19924572180832456</v>
      </c>
      <c r="H133">
        <f t="shared" si="18"/>
        <v>0.15880123724156192</v>
      </c>
      <c r="I133">
        <f t="shared" si="18"/>
        <v>0.11984919972957186</v>
      </c>
      <c r="J133">
        <f t="shared" si="18"/>
        <v>8.2389609272297548E-2</v>
      </c>
      <c r="K133">
        <f t="shared" si="18"/>
        <v>0.14642246586976171</v>
      </c>
      <c r="L133">
        <f t="shared" si="18"/>
        <v>0.11194776952197572</v>
      </c>
      <c r="M133">
        <f t="shared" si="18"/>
        <v>7.8965520229019148E-2</v>
      </c>
      <c r="N133">
        <f t="shared" si="18"/>
        <v>4.7475717990835165E-2</v>
      </c>
      <c r="O133">
        <f t="shared" si="18"/>
        <v>1.7478362807310077E-2</v>
      </c>
      <c r="P133">
        <f t="shared" si="18"/>
        <v>1.1026545321385584E-2</v>
      </c>
      <c r="Q133">
        <f t="shared" si="18"/>
        <v>3.8039006395365504E-2</v>
      </c>
      <c r="R133">
        <f t="shared" si="18"/>
        <v>6.3559020414515999E-2</v>
      </c>
      <c r="S133">
        <f t="shared" si="18"/>
        <v>8.7586587378950753E-2</v>
      </c>
      <c r="T133">
        <f t="shared" si="18"/>
        <v>0.11012170728866977</v>
      </c>
      <c r="U133">
        <f t="shared" si="18"/>
        <v>0.13116438014355936</v>
      </c>
    </row>
    <row r="134" spans="1:21">
      <c r="A134">
        <v>14</v>
      </c>
      <c r="B134">
        <v>14</v>
      </c>
      <c r="C134">
        <f t="shared" ref="C134:U134" si="19">ABS(C25-C81)</f>
        <v>0.38744246830304974</v>
      </c>
      <c r="D134">
        <f t="shared" si="19"/>
        <v>0.34102819551725361</v>
      </c>
      <c r="E134">
        <f t="shared" si="19"/>
        <v>0.29610636978617322</v>
      </c>
      <c r="F134">
        <f t="shared" si="19"/>
        <v>0.25267699110992226</v>
      </c>
      <c r="G134">
        <f t="shared" si="19"/>
        <v>0.21074005948838703</v>
      </c>
      <c r="H134">
        <f t="shared" si="19"/>
        <v>0.17029557492162439</v>
      </c>
      <c r="I134">
        <f t="shared" si="19"/>
        <v>0.13134353740963434</v>
      </c>
      <c r="J134">
        <f t="shared" si="19"/>
        <v>9.388394695236002E-2</v>
      </c>
      <c r="K134">
        <f t="shared" si="19"/>
        <v>5.7916803549858287E-2</v>
      </c>
      <c r="L134">
        <f t="shared" si="19"/>
        <v>0.12344210720209503</v>
      </c>
      <c r="M134">
        <f t="shared" si="19"/>
        <v>9.0459857909138464E-2</v>
      </c>
      <c r="N134">
        <f t="shared" si="19"/>
        <v>5.897005567095448E-2</v>
      </c>
      <c r="O134">
        <f t="shared" si="19"/>
        <v>2.8972700487429393E-2</v>
      </c>
      <c r="P134">
        <f t="shared" si="19"/>
        <v>4.6779235873373182E-4</v>
      </c>
      <c r="Q134">
        <f t="shared" si="19"/>
        <v>2.6544668715246189E-2</v>
      </c>
      <c r="R134">
        <f t="shared" si="19"/>
        <v>5.2064682734396683E-2</v>
      </c>
      <c r="S134">
        <f t="shared" si="19"/>
        <v>7.6092249698831438E-2</v>
      </c>
      <c r="T134">
        <f t="shared" si="19"/>
        <v>9.8627369608550453E-2</v>
      </c>
      <c r="U134">
        <f t="shared" si="19"/>
        <v>0.11967004246344004</v>
      </c>
    </row>
    <row r="135" spans="1:21">
      <c r="A135">
        <v>15</v>
      </c>
      <c r="B135">
        <v>15</v>
      </c>
      <c r="C135">
        <f t="shared" ref="C135:U135" si="20">ABS(C26-C82)</f>
        <v>0.3953857907046654</v>
      </c>
      <c r="D135">
        <f t="shared" si="20"/>
        <v>0.34897151791886927</v>
      </c>
      <c r="E135">
        <f t="shared" si="20"/>
        <v>0.30404969218778888</v>
      </c>
      <c r="F135">
        <f t="shared" si="20"/>
        <v>0.26062031351153792</v>
      </c>
      <c r="G135">
        <f t="shared" si="20"/>
        <v>0.21868338189000269</v>
      </c>
      <c r="H135">
        <f t="shared" si="20"/>
        <v>0.17823889732324005</v>
      </c>
      <c r="I135">
        <f t="shared" si="20"/>
        <v>0.13928685981125</v>
      </c>
      <c r="J135">
        <f t="shared" si="20"/>
        <v>0.10182726935397568</v>
      </c>
      <c r="K135">
        <f t="shared" si="20"/>
        <v>6.5860125951473947E-2</v>
      </c>
      <c r="L135">
        <f t="shared" si="20"/>
        <v>3.1385429603687953E-2</v>
      </c>
      <c r="M135">
        <f t="shared" si="20"/>
        <v>9.840318031069728E-2</v>
      </c>
      <c r="N135">
        <f t="shared" si="20"/>
        <v>6.6913378072513297E-2</v>
      </c>
      <c r="O135">
        <f t="shared" si="20"/>
        <v>3.6916022888988209E-2</v>
      </c>
      <c r="P135">
        <f t="shared" si="20"/>
        <v>8.4111147602925485E-3</v>
      </c>
      <c r="Q135">
        <f t="shared" si="20"/>
        <v>1.8601346313687372E-2</v>
      </c>
      <c r="R135">
        <f t="shared" si="20"/>
        <v>4.4121360332837867E-2</v>
      </c>
      <c r="S135">
        <f t="shared" si="20"/>
        <v>6.8148927297272621E-2</v>
      </c>
      <c r="T135">
        <f t="shared" si="20"/>
        <v>9.0684047206991636E-2</v>
      </c>
      <c r="U135">
        <f t="shared" si="20"/>
        <v>0.11172672006188122</v>
      </c>
    </row>
    <row r="136" spans="1:21">
      <c r="A136">
        <v>16</v>
      </c>
      <c r="B136">
        <v>16</v>
      </c>
      <c r="C136">
        <f t="shared" ref="C136:U136" si="21">ABS(C27-C83)</f>
        <v>0.39977809782766371</v>
      </c>
      <c r="D136">
        <f t="shared" si="21"/>
        <v>0.35336382504186759</v>
      </c>
      <c r="E136">
        <f t="shared" si="21"/>
        <v>0.3084419993107872</v>
      </c>
      <c r="F136">
        <f t="shared" si="21"/>
        <v>0.26501262063453623</v>
      </c>
      <c r="G136">
        <f t="shared" si="21"/>
        <v>0.22307568901300101</v>
      </c>
      <c r="H136">
        <f t="shared" si="21"/>
        <v>0.18263120444623837</v>
      </c>
      <c r="I136">
        <f t="shared" si="21"/>
        <v>0.14367916693424831</v>
      </c>
      <c r="J136">
        <f t="shared" si="21"/>
        <v>0.106219576476974</v>
      </c>
      <c r="K136">
        <f t="shared" si="21"/>
        <v>7.0252433074472265E-2</v>
      </c>
      <c r="L136">
        <f t="shared" si="21"/>
        <v>3.5777736726686271E-2</v>
      </c>
      <c r="M136">
        <f t="shared" si="21"/>
        <v>0.10279548743375244</v>
      </c>
      <c r="N136">
        <f t="shared" si="21"/>
        <v>7.1305685195568458E-2</v>
      </c>
      <c r="O136">
        <f t="shared" si="21"/>
        <v>4.1308330012043371E-2</v>
      </c>
      <c r="P136">
        <f t="shared" si="21"/>
        <v>1.280342188334771E-2</v>
      </c>
      <c r="Q136">
        <f t="shared" si="21"/>
        <v>1.4209039190632211E-2</v>
      </c>
      <c r="R136">
        <f t="shared" si="21"/>
        <v>3.9729053209782705E-2</v>
      </c>
      <c r="S136">
        <f t="shared" si="21"/>
        <v>6.375662017421746E-2</v>
      </c>
      <c r="T136">
        <f t="shared" si="21"/>
        <v>8.6291740083936475E-2</v>
      </c>
      <c r="U136">
        <f t="shared" si="21"/>
        <v>0.10733441293882606</v>
      </c>
    </row>
    <row r="137" spans="1:21">
      <c r="A137">
        <v>17</v>
      </c>
      <c r="B137">
        <v>17</v>
      </c>
      <c r="C137">
        <f t="shared" ref="C137:U137" si="22">ABS(C28-C84)</f>
        <v>0.40061938967227206</v>
      </c>
      <c r="D137">
        <f t="shared" si="22"/>
        <v>0.35420511688647593</v>
      </c>
      <c r="E137">
        <f t="shared" si="22"/>
        <v>0.30928329115539555</v>
      </c>
      <c r="F137">
        <f t="shared" si="22"/>
        <v>0.26585391247914458</v>
      </c>
      <c r="G137">
        <f t="shared" si="22"/>
        <v>0.22391698085760936</v>
      </c>
      <c r="H137">
        <f t="shared" si="22"/>
        <v>0.18347249629084672</v>
      </c>
      <c r="I137">
        <f t="shared" si="22"/>
        <v>0.14452045877885666</v>
      </c>
      <c r="J137">
        <f t="shared" si="22"/>
        <v>0.10706086832158235</v>
      </c>
      <c r="K137">
        <f t="shared" si="22"/>
        <v>7.1093724919080614E-2</v>
      </c>
      <c r="L137">
        <f t="shared" si="22"/>
        <v>3.6619028571294621E-2</v>
      </c>
      <c r="M137">
        <f t="shared" si="22"/>
        <v>0.10363677927836079</v>
      </c>
      <c r="N137">
        <f t="shared" si="22"/>
        <v>7.2146977040176807E-2</v>
      </c>
      <c r="O137">
        <f t="shared" si="22"/>
        <v>4.214962185665172E-2</v>
      </c>
      <c r="P137">
        <f t="shared" si="22"/>
        <v>1.3644713727956059E-2</v>
      </c>
      <c r="Q137">
        <f t="shared" si="22"/>
        <v>1.3367747346023862E-2</v>
      </c>
      <c r="R137">
        <f t="shared" si="22"/>
        <v>3.8887761365174356E-2</v>
      </c>
      <c r="S137">
        <f t="shared" si="22"/>
        <v>6.291532832960911E-2</v>
      </c>
      <c r="T137">
        <f t="shared" si="22"/>
        <v>8.5450448239328125E-2</v>
      </c>
      <c r="U137">
        <f t="shared" si="22"/>
        <v>0.10649312109421771</v>
      </c>
    </row>
    <row r="138" spans="1:21">
      <c r="A138">
        <v>18</v>
      </c>
      <c r="B138">
        <v>18</v>
      </c>
      <c r="C138">
        <f t="shared" ref="C138:U138" si="23">ABS(C29-C85)</f>
        <v>0.39790966623831991</v>
      </c>
      <c r="D138">
        <f t="shared" si="23"/>
        <v>0.35149539345252379</v>
      </c>
      <c r="E138">
        <f t="shared" si="23"/>
        <v>0.3065735677214434</v>
      </c>
      <c r="F138">
        <f t="shared" si="23"/>
        <v>0.26314418904519243</v>
      </c>
      <c r="G138">
        <f t="shared" si="23"/>
        <v>0.22120725742365721</v>
      </c>
      <c r="H138">
        <f t="shared" si="23"/>
        <v>0.18076277285689457</v>
      </c>
      <c r="I138">
        <f t="shared" si="23"/>
        <v>0.14181073534490451</v>
      </c>
      <c r="J138">
        <f t="shared" si="23"/>
        <v>0.1043511448876302</v>
      </c>
      <c r="K138">
        <f t="shared" si="23"/>
        <v>6.8384001485128465E-2</v>
      </c>
      <c r="L138">
        <f t="shared" si="23"/>
        <v>3.3909305137342471E-2</v>
      </c>
      <c r="M138">
        <f t="shared" si="23"/>
        <v>0.1009270558443518</v>
      </c>
      <c r="N138">
        <f t="shared" si="23"/>
        <v>6.9437253606167815E-2</v>
      </c>
      <c r="O138">
        <f t="shared" si="23"/>
        <v>3.9439898422642727E-2</v>
      </c>
      <c r="P138">
        <f t="shared" si="23"/>
        <v>1.0934990293947067E-2</v>
      </c>
      <c r="Q138">
        <f t="shared" si="23"/>
        <v>1.6077470780032854E-2</v>
      </c>
      <c r="R138">
        <f t="shared" si="23"/>
        <v>4.1597484799183349E-2</v>
      </c>
      <c r="S138">
        <f t="shared" si="23"/>
        <v>6.5625051763618103E-2</v>
      </c>
      <c r="T138">
        <f t="shared" si="23"/>
        <v>8.8160171673337118E-2</v>
      </c>
      <c r="U138">
        <f t="shared" si="23"/>
        <v>0.10920284452822671</v>
      </c>
    </row>
    <row r="139" spans="1:21">
      <c r="A139">
        <v>19</v>
      </c>
      <c r="B139">
        <v>19</v>
      </c>
      <c r="C139">
        <f t="shared" ref="C139:U139" si="24">ABS(C30-C86)</f>
        <v>0.39164892752575042</v>
      </c>
      <c r="D139">
        <f t="shared" si="24"/>
        <v>0.34523465473995429</v>
      </c>
      <c r="E139">
        <f t="shared" si="24"/>
        <v>0.3003128290088739</v>
      </c>
      <c r="F139">
        <f t="shared" si="24"/>
        <v>0.25688345033262294</v>
      </c>
      <c r="G139">
        <f t="shared" si="24"/>
        <v>0.21494651871108772</v>
      </c>
      <c r="H139">
        <f t="shared" si="24"/>
        <v>0.17450203414432508</v>
      </c>
      <c r="I139">
        <f t="shared" si="24"/>
        <v>0.13554999663233502</v>
      </c>
      <c r="J139">
        <f t="shared" si="24"/>
        <v>9.8090406175060707E-2</v>
      </c>
      <c r="K139">
        <f t="shared" si="24"/>
        <v>6.2123262772558974E-2</v>
      </c>
      <c r="L139">
        <f t="shared" si="24"/>
        <v>2.764856642477298E-2</v>
      </c>
      <c r="M139">
        <f t="shared" si="24"/>
        <v>9.4666317131839151E-2</v>
      </c>
      <c r="N139">
        <f t="shared" si="24"/>
        <v>6.3176514893655167E-2</v>
      </c>
      <c r="O139">
        <f t="shared" si="24"/>
        <v>3.3179159710130079E-2</v>
      </c>
      <c r="P139">
        <f t="shared" si="24"/>
        <v>4.6742515814344188E-3</v>
      </c>
      <c r="Q139">
        <f t="shared" si="24"/>
        <v>2.2338209492545502E-2</v>
      </c>
      <c r="R139">
        <f t="shared" si="24"/>
        <v>4.7858223511695996E-2</v>
      </c>
      <c r="S139">
        <f t="shared" si="24"/>
        <v>7.1885790476130751E-2</v>
      </c>
      <c r="T139">
        <f t="shared" si="24"/>
        <v>9.4420910385849766E-2</v>
      </c>
      <c r="U139">
        <f t="shared" si="24"/>
        <v>0.11546358324073935</v>
      </c>
    </row>
    <row r="140" spans="1:21">
      <c r="A140">
        <v>20</v>
      </c>
      <c r="B140">
        <v>20</v>
      </c>
      <c r="C140">
        <f t="shared" ref="C140:U140" si="25">ABS(C31-C87)</f>
        <v>0.28183717353476823</v>
      </c>
      <c r="D140">
        <f t="shared" si="25"/>
        <v>0.2354229007489721</v>
      </c>
      <c r="E140">
        <f t="shared" si="25"/>
        <v>0.29050107501791445</v>
      </c>
      <c r="F140">
        <f t="shared" si="25"/>
        <v>0.24707169634166348</v>
      </c>
      <c r="G140">
        <f t="shared" si="25"/>
        <v>0.20513476472012826</v>
      </c>
      <c r="H140">
        <f t="shared" si="25"/>
        <v>0.16469028015336562</v>
      </c>
      <c r="I140">
        <f t="shared" si="25"/>
        <v>0.12573824264137556</v>
      </c>
      <c r="J140">
        <f t="shared" si="25"/>
        <v>8.8278652184101247E-2</v>
      </c>
      <c r="K140">
        <f t="shared" si="25"/>
        <v>5.2311508781599514E-2</v>
      </c>
      <c r="L140">
        <f t="shared" si="25"/>
        <v>1.783681243381352E-2</v>
      </c>
      <c r="M140">
        <f t="shared" si="25"/>
        <v>8.4854563140822847E-2</v>
      </c>
      <c r="N140">
        <f t="shared" si="25"/>
        <v>5.3364760902638864E-2</v>
      </c>
      <c r="O140">
        <f t="shared" si="25"/>
        <v>2.3367405719113776E-2</v>
      </c>
      <c r="P140">
        <f t="shared" si="25"/>
        <v>5.1375024095818844E-3</v>
      </c>
      <c r="Q140">
        <f t="shared" si="25"/>
        <v>3.2149963483561805E-2</v>
      </c>
      <c r="R140">
        <f t="shared" si="25"/>
        <v>5.76699775027123E-2</v>
      </c>
      <c r="S140">
        <f t="shared" si="25"/>
        <v>8.1697544467147054E-2</v>
      </c>
      <c r="T140">
        <f t="shared" si="25"/>
        <v>0.10423266437686607</v>
      </c>
      <c r="U140">
        <f t="shared" si="25"/>
        <v>2.5275337231732919E-2</v>
      </c>
    </row>
    <row r="141" spans="1:21">
      <c r="A141">
        <v>21</v>
      </c>
      <c r="B141">
        <v>21</v>
      </c>
      <c r="C141">
        <f t="shared" ref="C141:U141" si="26">ABS(C32-C88)</f>
        <v>0.26847440426524827</v>
      </c>
      <c r="D141">
        <f t="shared" si="26"/>
        <v>0.22206013147945214</v>
      </c>
      <c r="E141">
        <f t="shared" si="26"/>
        <v>0.17713830574837175</v>
      </c>
      <c r="F141">
        <f t="shared" si="26"/>
        <v>0.23370892707208668</v>
      </c>
      <c r="G141">
        <f t="shared" si="26"/>
        <v>0.19177199545055146</v>
      </c>
      <c r="H141">
        <f t="shared" si="26"/>
        <v>0.15132751088378882</v>
      </c>
      <c r="I141">
        <f t="shared" si="26"/>
        <v>0.11237547337179876</v>
      </c>
      <c r="J141">
        <f t="shared" si="26"/>
        <v>7.4915882914524445E-2</v>
      </c>
      <c r="K141">
        <f t="shared" si="26"/>
        <v>3.8948739512022712E-2</v>
      </c>
      <c r="L141">
        <f t="shared" si="26"/>
        <v>4.4740431642367184E-3</v>
      </c>
      <c r="M141">
        <f t="shared" si="26"/>
        <v>7.1491793871302889E-2</v>
      </c>
      <c r="N141">
        <f t="shared" si="26"/>
        <v>4.0001991633118905E-2</v>
      </c>
      <c r="O141">
        <f t="shared" si="26"/>
        <v>1.0004636449593818E-2</v>
      </c>
      <c r="P141">
        <f t="shared" si="26"/>
        <v>1.8500271679101843E-2</v>
      </c>
      <c r="Q141">
        <f t="shared" si="26"/>
        <v>4.5512732753081764E-2</v>
      </c>
      <c r="R141">
        <f t="shared" si="26"/>
        <v>7.1032746772232258E-2</v>
      </c>
      <c r="S141">
        <f t="shared" si="26"/>
        <v>9.5060313736667013E-2</v>
      </c>
      <c r="T141">
        <f t="shared" si="26"/>
        <v>1.759543364636329E-2</v>
      </c>
      <c r="U141">
        <f t="shared" si="26"/>
        <v>3.8638106501252878E-2</v>
      </c>
    </row>
    <row r="142" spans="1:21">
      <c r="A142">
        <v>22</v>
      </c>
      <c r="B142">
        <v>22</v>
      </c>
      <c r="C142">
        <f t="shared" ref="C142:U142" si="27">ABS(C33-C89)</f>
        <v>0.25156061971722465</v>
      </c>
      <c r="D142">
        <f t="shared" si="27"/>
        <v>0.20514634693142852</v>
      </c>
      <c r="E142">
        <f t="shared" si="27"/>
        <v>0.16022452120034814</v>
      </c>
      <c r="F142">
        <f t="shared" si="27"/>
        <v>0.11679514252409717</v>
      </c>
      <c r="G142">
        <f t="shared" si="27"/>
        <v>0.17485821090258469</v>
      </c>
      <c r="H142">
        <f t="shared" si="27"/>
        <v>0.13441372633582205</v>
      </c>
      <c r="I142">
        <f t="shared" si="27"/>
        <v>9.5461688823831992E-2</v>
      </c>
      <c r="J142">
        <f t="shared" si="27"/>
        <v>5.8002098366557675E-2</v>
      </c>
      <c r="K142">
        <f t="shared" si="27"/>
        <v>2.2034954964055942E-2</v>
      </c>
      <c r="L142">
        <f t="shared" si="27"/>
        <v>1.2439741383730052E-2</v>
      </c>
      <c r="M142">
        <f t="shared" si="27"/>
        <v>5.4578009323336119E-2</v>
      </c>
      <c r="N142">
        <f t="shared" si="27"/>
        <v>2.3088207085152135E-2</v>
      </c>
      <c r="O142">
        <f t="shared" si="27"/>
        <v>6.9091480983729525E-3</v>
      </c>
      <c r="P142">
        <f t="shared" si="27"/>
        <v>3.5414056227068613E-2</v>
      </c>
      <c r="Q142">
        <f t="shared" si="27"/>
        <v>6.2426517301048534E-2</v>
      </c>
      <c r="R142">
        <f t="shared" si="27"/>
        <v>8.7946531320199028E-2</v>
      </c>
      <c r="S142">
        <f t="shared" si="27"/>
        <v>1.1974098284667889E-2</v>
      </c>
      <c r="T142">
        <f t="shared" si="27"/>
        <v>3.4509218194386904E-2</v>
      </c>
      <c r="U142">
        <f t="shared" si="27"/>
        <v>5.5551891049276492E-2</v>
      </c>
    </row>
    <row r="143" spans="1:21">
      <c r="A143">
        <v>23</v>
      </c>
      <c r="B143">
        <v>23</v>
      </c>
      <c r="C143">
        <f t="shared" ref="C143:U143" si="28">ABS(C34-C90)</f>
        <v>0.23109581989069738</v>
      </c>
      <c r="D143">
        <f t="shared" si="28"/>
        <v>0.18468154710490126</v>
      </c>
      <c r="E143">
        <f t="shared" si="28"/>
        <v>0.13975972137382087</v>
      </c>
      <c r="F143">
        <f t="shared" si="28"/>
        <v>9.6330342697569904E-2</v>
      </c>
      <c r="G143">
        <f t="shared" si="28"/>
        <v>0.15439341107605742</v>
      </c>
      <c r="H143">
        <f t="shared" si="28"/>
        <v>0.11394892650929478</v>
      </c>
      <c r="I143">
        <f t="shared" si="28"/>
        <v>7.4996888997304723E-2</v>
      </c>
      <c r="J143">
        <f t="shared" si="28"/>
        <v>3.7537298540030406E-2</v>
      </c>
      <c r="K143">
        <f t="shared" si="28"/>
        <v>1.5701551375286726E-3</v>
      </c>
      <c r="L143">
        <f t="shared" si="28"/>
        <v>6.7095458789708573E-2</v>
      </c>
      <c r="M143">
        <f t="shared" si="28"/>
        <v>3.4113209496752006E-2</v>
      </c>
      <c r="N143">
        <f t="shared" si="28"/>
        <v>2.6234072585680224E-3</v>
      </c>
      <c r="O143">
        <f t="shared" si="28"/>
        <v>2.7373947924957065E-2</v>
      </c>
      <c r="P143">
        <f t="shared" si="28"/>
        <v>5.5878856053652726E-2</v>
      </c>
      <c r="Q143">
        <f t="shared" si="28"/>
        <v>1.7108682872390091E-2</v>
      </c>
      <c r="R143">
        <f t="shared" si="28"/>
        <v>8.4113311467604035E-3</v>
      </c>
      <c r="S143">
        <f t="shared" si="28"/>
        <v>3.2438898111195158E-2</v>
      </c>
      <c r="T143">
        <f t="shared" si="28"/>
        <v>5.4974018020914173E-2</v>
      </c>
      <c r="U143">
        <f t="shared" si="28"/>
        <v>7.6016690875803761E-2</v>
      </c>
    </row>
    <row r="144" spans="1:21">
      <c r="A144">
        <v>24</v>
      </c>
      <c r="B144">
        <v>24</v>
      </c>
      <c r="C144">
        <f t="shared" ref="C144:U144" si="29">ABS(C35-C91)</f>
        <v>0.2070800047857233</v>
      </c>
      <c r="D144">
        <f t="shared" si="29"/>
        <v>0.16066573199992717</v>
      </c>
      <c r="E144">
        <f t="shared" si="29"/>
        <v>0.11574390626884679</v>
      </c>
      <c r="F144">
        <f t="shared" si="29"/>
        <v>7.2314527592595823E-2</v>
      </c>
      <c r="G144">
        <f t="shared" si="29"/>
        <v>3.03775959710606E-2</v>
      </c>
      <c r="H144">
        <f t="shared" si="29"/>
        <v>8.9933111404263855E-2</v>
      </c>
      <c r="I144">
        <f t="shared" si="29"/>
        <v>5.0981073892273798E-2</v>
      </c>
      <c r="J144">
        <f t="shared" si="29"/>
        <v>1.3521483434999482E-2</v>
      </c>
      <c r="K144">
        <f t="shared" si="29"/>
        <v>2.2445659967502252E-2</v>
      </c>
      <c r="L144">
        <f t="shared" si="29"/>
        <v>4.3079643684734492E-2</v>
      </c>
      <c r="M144">
        <f t="shared" si="29"/>
        <v>1.0097394391777925E-2</v>
      </c>
      <c r="N144">
        <f t="shared" si="29"/>
        <v>2.1392407846406059E-2</v>
      </c>
      <c r="O144">
        <f t="shared" si="29"/>
        <v>5.1389763029931146E-2</v>
      </c>
      <c r="P144">
        <f t="shared" si="29"/>
        <v>2.0105328841339087E-2</v>
      </c>
      <c r="Q144">
        <f t="shared" si="29"/>
        <v>6.9071322326408335E-3</v>
      </c>
      <c r="R144">
        <f t="shared" si="29"/>
        <v>3.2427146251791328E-2</v>
      </c>
      <c r="S144">
        <f t="shared" si="29"/>
        <v>5.6454713216226082E-2</v>
      </c>
      <c r="T144">
        <f t="shared" si="29"/>
        <v>7.8989833125945097E-2</v>
      </c>
      <c r="U144">
        <f t="shared" si="29"/>
        <v>3.2505980811947666E-5</v>
      </c>
    </row>
    <row r="145" spans="1:21">
      <c r="A145">
        <v>25</v>
      </c>
      <c r="B145">
        <v>25</v>
      </c>
      <c r="C145">
        <f t="shared" ref="C145:U145" si="30">ABS(C36-C92)</f>
        <v>7.9513174402165987E-2</v>
      </c>
      <c r="D145">
        <f t="shared" si="30"/>
        <v>0.13309890161633575</v>
      </c>
      <c r="E145">
        <f t="shared" si="30"/>
        <v>8.8177075885255363E-2</v>
      </c>
      <c r="F145">
        <f t="shared" si="30"/>
        <v>4.47476972090044E-2</v>
      </c>
      <c r="G145">
        <f t="shared" si="30"/>
        <v>2.8107655874691773E-3</v>
      </c>
      <c r="H145">
        <f t="shared" si="30"/>
        <v>6.2366281020729275E-2</v>
      </c>
      <c r="I145">
        <f t="shared" si="30"/>
        <v>2.3414243508739219E-2</v>
      </c>
      <c r="J145">
        <f t="shared" si="30"/>
        <v>1.4045346948535098E-2</v>
      </c>
      <c r="K145">
        <f t="shared" si="30"/>
        <v>5.0012490351036831E-2</v>
      </c>
      <c r="L145">
        <f t="shared" si="30"/>
        <v>1.5512813301143069E-2</v>
      </c>
      <c r="M145">
        <f t="shared" si="30"/>
        <v>1.7469435991813498E-2</v>
      </c>
      <c r="N145">
        <f t="shared" si="30"/>
        <v>4.8959238229997482E-2</v>
      </c>
      <c r="O145">
        <f t="shared" si="30"/>
        <v>2.1043406586500168E-2</v>
      </c>
      <c r="P145">
        <f t="shared" si="30"/>
        <v>7.4615015421954922E-3</v>
      </c>
      <c r="Q145">
        <f t="shared" si="30"/>
        <v>3.4473962616175413E-2</v>
      </c>
      <c r="R145">
        <f t="shared" si="30"/>
        <v>5.9993976635325907E-2</v>
      </c>
      <c r="S145">
        <f t="shared" si="30"/>
        <v>1.5978456400262075E-2</v>
      </c>
      <c r="T145">
        <f t="shared" si="30"/>
        <v>6.5566635094569392E-3</v>
      </c>
      <c r="U145">
        <f t="shared" si="30"/>
        <v>2.7599336364346527E-2</v>
      </c>
    </row>
    <row r="146" spans="1:21">
      <c r="A146">
        <v>26</v>
      </c>
      <c r="B146">
        <v>26</v>
      </c>
      <c r="C146">
        <f t="shared" ref="C146:U146" si="31">ABS(C37-C93)</f>
        <v>4.8395328740070909E-2</v>
      </c>
      <c r="D146">
        <f t="shared" si="31"/>
        <v>1.9810559542747797E-3</v>
      </c>
      <c r="E146">
        <f t="shared" si="31"/>
        <v>5.7059230223217128E-2</v>
      </c>
      <c r="F146">
        <f t="shared" si="31"/>
        <v>1.3629851546966165E-2</v>
      </c>
      <c r="G146">
        <f t="shared" si="31"/>
        <v>2.8307080074569058E-2</v>
      </c>
      <c r="H146">
        <f t="shared" si="31"/>
        <v>3.1248435358634197E-2</v>
      </c>
      <c r="I146">
        <f t="shared" si="31"/>
        <v>7.7036021533558596E-3</v>
      </c>
      <c r="J146">
        <f t="shared" si="31"/>
        <v>4.5163192610630176E-2</v>
      </c>
      <c r="K146">
        <f t="shared" si="31"/>
        <v>1.8869663986890828E-2</v>
      </c>
      <c r="L146">
        <f t="shared" si="31"/>
        <v>1.5605032360895166E-2</v>
      </c>
      <c r="M146">
        <f t="shared" si="31"/>
        <v>4.8587281653851733E-2</v>
      </c>
      <c r="N146">
        <f t="shared" si="31"/>
        <v>8.0077083892035716E-2</v>
      </c>
      <c r="O146">
        <f t="shared" si="31"/>
        <v>1.0074439075538066E-2</v>
      </c>
      <c r="P146">
        <f t="shared" si="31"/>
        <v>3.8579347204233727E-2</v>
      </c>
      <c r="Q146">
        <f t="shared" si="31"/>
        <v>6.5591808278213648E-2</v>
      </c>
      <c r="R146">
        <f t="shared" si="31"/>
        <v>8.8881777026017517E-3</v>
      </c>
      <c r="S146">
        <f t="shared" si="31"/>
        <v>1.5139389261833003E-2</v>
      </c>
      <c r="T146">
        <f t="shared" si="31"/>
        <v>3.7674509171552018E-2</v>
      </c>
      <c r="U146">
        <f t="shared" si="31"/>
        <v>4.1282817973581132E-2</v>
      </c>
    </row>
    <row r="147" spans="1:21">
      <c r="A147">
        <v>27</v>
      </c>
      <c r="B147">
        <v>27</v>
      </c>
      <c r="C147">
        <f t="shared" ref="C147:U147" si="32">ABS(C38-C94)</f>
        <v>1.3726467799472175E-2</v>
      </c>
      <c r="D147">
        <f t="shared" si="32"/>
        <v>3.2687804986323954E-2</v>
      </c>
      <c r="E147">
        <f t="shared" si="32"/>
        <v>2.2390369282561551E-2</v>
      </c>
      <c r="F147">
        <f t="shared" si="32"/>
        <v>2.1039009393689412E-2</v>
      </c>
      <c r="G147">
        <f t="shared" si="32"/>
        <v>6.2975941015224635E-2</v>
      </c>
      <c r="H147">
        <f t="shared" si="32"/>
        <v>3.4204255819645368E-3</v>
      </c>
      <c r="I147">
        <f t="shared" si="32"/>
        <v>4.2372463093954593E-2</v>
      </c>
      <c r="J147">
        <f t="shared" si="32"/>
        <v>7.983205355122891E-2</v>
      </c>
      <c r="K147">
        <f t="shared" si="32"/>
        <v>1.5799196953707906E-2</v>
      </c>
      <c r="L147">
        <f t="shared" si="32"/>
        <v>5.0273893301493899E-2</v>
      </c>
      <c r="M147">
        <f t="shared" si="32"/>
        <v>8.3256142594450466E-2</v>
      </c>
      <c r="N147">
        <f t="shared" si="32"/>
        <v>1.4745944832668556E-2</v>
      </c>
      <c r="O147">
        <f t="shared" si="32"/>
        <v>4.4743300016193643E-2</v>
      </c>
      <c r="P147">
        <f t="shared" si="32"/>
        <v>7.3248208144889304E-2</v>
      </c>
      <c r="Q147">
        <f t="shared" si="32"/>
        <v>2.6066921884648764E-4</v>
      </c>
      <c r="R147">
        <f t="shared" si="32"/>
        <v>2.5780683237996982E-2</v>
      </c>
      <c r="S147">
        <f t="shared" si="32"/>
        <v>4.9808250202431736E-2</v>
      </c>
      <c r="T147">
        <f t="shared" si="32"/>
        <v>2.7656629887815143E-2</v>
      </c>
      <c r="U147">
        <f t="shared" si="32"/>
        <v>6.6139570329255548E-3</v>
      </c>
    </row>
    <row r="148" spans="1:21">
      <c r="A148">
        <v>28</v>
      </c>
      <c r="B148">
        <v>28</v>
      </c>
      <c r="C148">
        <f t="shared" ref="C148:U148" si="33">ABS(C39-C95)</f>
        <v>2.4493408419630214E-2</v>
      </c>
      <c r="D148">
        <f t="shared" si="33"/>
        <v>7.0907681205426343E-2</v>
      </c>
      <c r="E148">
        <f t="shared" si="33"/>
        <v>0.11582950693650673</v>
      </c>
      <c r="F148">
        <f t="shared" si="33"/>
        <v>5.9258885612734957E-2</v>
      </c>
      <c r="G148">
        <f t="shared" si="33"/>
        <v>0.10119581723427018</v>
      </c>
      <c r="H148">
        <f t="shared" si="33"/>
        <v>4.1640301801010082E-2</v>
      </c>
      <c r="I148">
        <f t="shared" si="33"/>
        <v>8.0592339313000139E-2</v>
      </c>
      <c r="J148">
        <f t="shared" si="33"/>
        <v>0.11805192977027446</v>
      </c>
      <c r="K148">
        <f t="shared" si="33"/>
        <v>5.4019073172810295E-2</v>
      </c>
      <c r="L148">
        <f t="shared" si="33"/>
        <v>8.8493769520596288E-2</v>
      </c>
      <c r="M148">
        <f t="shared" si="33"/>
        <v>2.1476018813530118E-2</v>
      </c>
      <c r="N148">
        <f t="shared" si="33"/>
        <v>5.2965821051714101E-2</v>
      </c>
      <c r="O148">
        <f t="shared" si="33"/>
        <v>8.2963176235239189E-2</v>
      </c>
      <c r="P148">
        <f t="shared" si="33"/>
        <v>1.1468084363968956E-2</v>
      </c>
      <c r="Q148">
        <f t="shared" si="33"/>
        <v>3.8480545437948876E-2</v>
      </c>
      <c r="R148">
        <f t="shared" si="33"/>
        <v>3.5999440542923367E-2</v>
      </c>
      <c r="S148">
        <f t="shared" si="33"/>
        <v>1.1971873578488612E-2</v>
      </c>
      <c r="T148">
        <f t="shared" si="33"/>
        <v>1.0563246331230403E-2</v>
      </c>
      <c r="U148">
        <f t="shared" si="33"/>
        <v>6.8394080813902747E-2</v>
      </c>
    </row>
    <row r="149" spans="1:21">
      <c r="A149">
        <v>29</v>
      </c>
      <c r="B149">
        <v>29</v>
      </c>
      <c r="C149">
        <f t="shared" ref="C149:U149" si="34">ABS(C40-C96)</f>
        <v>0.166264299917259</v>
      </c>
      <c r="D149">
        <f t="shared" si="34"/>
        <v>0.11267857270303239</v>
      </c>
      <c r="E149">
        <f t="shared" si="34"/>
        <v>0.15760039843411278</v>
      </c>
      <c r="F149">
        <f t="shared" si="34"/>
        <v>0.101029777110341</v>
      </c>
      <c r="G149">
        <f t="shared" si="34"/>
        <v>0.14296670873187622</v>
      </c>
      <c r="H149">
        <f t="shared" si="34"/>
        <v>8.341119329867297E-2</v>
      </c>
      <c r="I149">
        <f t="shared" si="34"/>
        <v>0.12236323081066303</v>
      </c>
      <c r="J149">
        <f t="shared" si="34"/>
        <v>5.9822821267914605E-2</v>
      </c>
      <c r="K149">
        <f t="shared" si="34"/>
        <v>9.5789964670416339E-2</v>
      </c>
      <c r="L149">
        <f t="shared" si="34"/>
        <v>0.13026466101820233</v>
      </c>
      <c r="M149">
        <f t="shared" si="34"/>
        <v>6.3246910311193005E-2</v>
      </c>
      <c r="N149">
        <f t="shared" si="34"/>
        <v>9.4736712549376989E-2</v>
      </c>
      <c r="O149">
        <f t="shared" si="34"/>
        <v>2.4734067732879339E-2</v>
      </c>
      <c r="P149">
        <f t="shared" si="34"/>
        <v>5.3238975861575E-2</v>
      </c>
      <c r="Q149">
        <f t="shared" si="34"/>
        <v>1.9748563064467817E-2</v>
      </c>
      <c r="R149">
        <f t="shared" si="34"/>
        <v>5.7714509546826775E-3</v>
      </c>
      <c r="S149">
        <f t="shared" si="34"/>
        <v>7.0200982080848462E-2</v>
      </c>
      <c r="T149">
        <f t="shared" si="34"/>
        <v>4.7665862171129447E-2</v>
      </c>
      <c r="U149">
        <f t="shared" si="34"/>
        <v>0.1266231893162626</v>
      </c>
    </row>
    <row r="150" spans="1:21">
      <c r="A150">
        <v>30</v>
      </c>
      <c r="B150">
        <v>30</v>
      </c>
      <c r="C150">
        <f t="shared" ref="C150:U150" si="35">ABS(C41-C97)</f>
        <v>0.21158620669336869</v>
      </c>
      <c r="D150">
        <f t="shared" si="35"/>
        <v>0.15800047947914209</v>
      </c>
      <c r="E150">
        <f t="shared" si="35"/>
        <v>0.20292230521022248</v>
      </c>
      <c r="F150">
        <f t="shared" si="35"/>
        <v>0.14635168388650754</v>
      </c>
      <c r="G150">
        <f t="shared" si="35"/>
        <v>0.18828861550804277</v>
      </c>
      <c r="H150">
        <f t="shared" si="35"/>
        <v>0.12873310007478267</v>
      </c>
      <c r="I150">
        <f t="shared" si="35"/>
        <v>0.16768513758677273</v>
      </c>
      <c r="J150">
        <f t="shared" si="35"/>
        <v>0.10514472804408115</v>
      </c>
      <c r="K150">
        <f t="shared" si="35"/>
        <v>0.14111187144658288</v>
      </c>
      <c r="L150">
        <f t="shared" si="35"/>
        <v>7.5586567794346138E-2</v>
      </c>
      <c r="M150">
        <f t="shared" si="35"/>
        <v>0.1085688170873027</v>
      </c>
      <c r="N150">
        <f t="shared" si="35"/>
        <v>4.0058619325463951E-2</v>
      </c>
      <c r="O150">
        <f t="shared" si="35"/>
        <v>7.0055974508989038E-2</v>
      </c>
      <c r="P150">
        <f t="shared" si="35"/>
        <v>1.4391173622811948E-3</v>
      </c>
      <c r="Q150">
        <f t="shared" si="35"/>
        <v>2.5573343711698726E-2</v>
      </c>
      <c r="R150">
        <f t="shared" si="35"/>
        <v>4.8906642269173517E-2</v>
      </c>
      <c r="S150">
        <f t="shared" si="35"/>
        <v>2.4879075304738762E-2</v>
      </c>
      <c r="T150">
        <f t="shared" si="35"/>
        <v>0.10234395539498564</v>
      </c>
      <c r="U150">
        <f t="shared" si="35"/>
        <v>8.1301282540096054E-2</v>
      </c>
    </row>
    <row r="151" spans="1:21">
      <c r="A151">
        <v>31</v>
      </c>
      <c r="B151">
        <v>31</v>
      </c>
      <c r="C151">
        <f t="shared" ref="C151:U151" si="36">ABS(C42-C98)</f>
        <v>0.26045912874792521</v>
      </c>
      <c r="D151">
        <f t="shared" si="36"/>
        <v>0.30687340153372133</v>
      </c>
      <c r="E151">
        <f t="shared" si="36"/>
        <v>0.25179522726483583</v>
      </c>
      <c r="F151">
        <f t="shared" si="36"/>
        <v>0.19522460594106406</v>
      </c>
      <c r="G151">
        <f t="shared" si="36"/>
        <v>0.23716153756259928</v>
      </c>
      <c r="H151">
        <f t="shared" si="36"/>
        <v>0.17760602212939602</v>
      </c>
      <c r="I151">
        <f t="shared" si="36"/>
        <v>0.21655805964138608</v>
      </c>
      <c r="J151">
        <f t="shared" si="36"/>
        <v>0.15401765009863766</v>
      </c>
      <c r="K151">
        <f t="shared" si="36"/>
        <v>8.9984793501116656E-2</v>
      </c>
      <c r="L151">
        <f t="shared" si="36"/>
        <v>0.12445948984890265</v>
      </c>
      <c r="M151">
        <f t="shared" si="36"/>
        <v>5.7441739141893322E-2</v>
      </c>
      <c r="N151">
        <f t="shared" si="36"/>
        <v>8.8931541380077306E-2</v>
      </c>
      <c r="O151">
        <f t="shared" si="36"/>
        <v>1.8928896563579656E-2</v>
      </c>
      <c r="P151">
        <f t="shared" si="36"/>
        <v>4.7433804692275316E-2</v>
      </c>
      <c r="Q151">
        <f t="shared" si="36"/>
        <v>2.5553734233710657E-2</v>
      </c>
      <c r="R151">
        <f t="shared" si="36"/>
        <v>0.1000337202145829</v>
      </c>
      <c r="S151">
        <f t="shared" si="36"/>
        <v>7.6006153250148145E-2</v>
      </c>
      <c r="T151">
        <f t="shared" si="36"/>
        <v>0.15347103334045187</v>
      </c>
      <c r="U151">
        <f t="shared" si="36"/>
        <v>0.13242836048556228</v>
      </c>
    </row>
    <row r="152" spans="1:21">
      <c r="A152">
        <v>32</v>
      </c>
      <c r="B152">
        <v>32</v>
      </c>
      <c r="C152">
        <f t="shared" ref="C152:U152" si="37">ABS(C43-C99)</f>
        <v>0.31288306608121275</v>
      </c>
      <c r="D152">
        <f t="shared" si="37"/>
        <v>0.35929733886700888</v>
      </c>
      <c r="E152">
        <f t="shared" si="37"/>
        <v>0.30421916459806653</v>
      </c>
      <c r="F152">
        <f t="shared" si="37"/>
        <v>0.2476485432743516</v>
      </c>
      <c r="G152">
        <f t="shared" si="37"/>
        <v>0.28958547489588682</v>
      </c>
      <c r="H152">
        <f t="shared" si="37"/>
        <v>0.23002995946262672</v>
      </c>
      <c r="I152">
        <f t="shared" si="37"/>
        <v>0.16898199697459404</v>
      </c>
      <c r="J152">
        <f t="shared" si="37"/>
        <v>0.20644158743186836</v>
      </c>
      <c r="K152">
        <f t="shared" si="37"/>
        <v>0.1424087308344042</v>
      </c>
      <c r="L152">
        <f t="shared" si="37"/>
        <v>7.6883427182167452E-2</v>
      </c>
      <c r="M152">
        <f t="shared" si="37"/>
        <v>0.10986567647512402</v>
      </c>
      <c r="N152">
        <f t="shared" si="37"/>
        <v>4.1355478713342109E-2</v>
      </c>
      <c r="O152">
        <f t="shared" si="37"/>
        <v>2.8647166103155541E-2</v>
      </c>
      <c r="P152">
        <f t="shared" si="37"/>
        <v>1.4225797445988064E-4</v>
      </c>
      <c r="Q152">
        <f t="shared" si="37"/>
        <v>7.3129796900502697E-2</v>
      </c>
      <c r="R152">
        <f t="shared" si="37"/>
        <v>0.1476097828813181</v>
      </c>
      <c r="S152">
        <f t="shared" si="37"/>
        <v>0.12358221591688334</v>
      </c>
      <c r="T152">
        <f t="shared" si="37"/>
        <v>0.20104709600718706</v>
      </c>
      <c r="U152">
        <f t="shared" si="37"/>
        <v>0.18000442315229748</v>
      </c>
    </row>
    <row r="153" spans="1:21">
      <c r="A153">
        <v>33</v>
      </c>
      <c r="B153">
        <v>33</v>
      </c>
      <c r="C153">
        <f t="shared" ref="C153:U153" si="38">ABS(C44-C100)</f>
        <v>0.46885801869285615</v>
      </c>
      <c r="D153">
        <f t="shared" si="38"/>
        <v>0.41527229147862954</v>
      </c>
      <c r="E153">
        <f t="shared" si="38"/>
        <v>0.36019411720974404</v>
      </c>
      <c r="F153">
        <f t="shared" si="38"/>
        <v>0.403623495885995</v>
      </c>
      <c r="G153">
        <f t="shared" si="38"/>
        <v>0.34556042750750748</v>
      </c>
      <c r="H153">
        <f t="shared" si="38"/>
        <v>0.28600491207424739</v>
      </c>
      <c r="I153">
        <f t="shared" si="38"/>
        <v>0.22495694958627155</v>
      </c>
      <c r="J153">
        <f t="shared" si="38"/>
        <v>0.26241654004354587</v>
      </c>
      <c r="K153">
        <f t="shared" si="38"/>
        <v>0.19838368344602486</v>
      </c>
      <c r="L153">
        <f t="shared" si="38"/>
        <v>0.13285837979384496</v>
      </c>
      <c r="M153">
        <f t="shared" si="38"/>
        <v>6.584062908677879E-2</v>
      </c>
      <c r="N153">
        <f t="shared" si="38"/>
        <v>9.7330431324962774E-2</v>
      </c>
      <c r="O153">
        <f t="shared" si="38"/>
        <v>2.7327786508465124E-2</v>
      </c>
      <c r="P153">
        <f t="shared" si="38"/>
        <v>4.4167305362805109E-2</v>
      </c>
      <c r="Q153">
        <f t="shared" si="38"/>
        <v>0.11715484428884793</v>
      </c>
      <c r="R153">
        <f t="shared" si="38"/>
        <v>9.1634830269697432E-2</v>
      </c>
      <c r="S153">
        <f t="shared" si="38"/>
        <v>0.16760726330522857</v>
      </c>
      <c r="T153">
        <f t="shared" si="38"/>
        <v>0.24507214339553229</v>
      </c>
      <c r="U153">
        <f t="shared" si="38"/>
        <v>0.32402947054066544</v>
      </c>
    </row>
    <row r="154" spans="1:21">
      <c r="A154">
        <v>34</v>
      </c>
      <c r="B154">
        <v>34</v>
      </c>
      <c r="C154">
        <f t="shared" ref="C154:U154" si="39">ABS(C45-C101)</f>
        <v>0.52838398658298047</v>
      </c>
      <c r="D154">
        <f t="shared" si="39"/>
        <v>0.4747982593688107</v>
      </c>
      <c r="E154">
        <f t="shared" si="39"/>
        <v>0.41972008509986836</v>
      </c>
      <c r="F154">
        <f t="shared" si="39"/>
        <v>0.46314946377611932</v>
      </c>
      <c r="G154">
        <f t="shared" si="39"/>
        <v>0.4050863953976318</v>
      </c>
      <c r="H154">
        <f t="shared" si="39"/>
        <v>0.34553087996442855</v>
      </c>
      <c r="I154">
        <f t="shared" si="39"/>
        <v>0.28448291747639587</v>
      </c>
      <c r="J154">
        <f t="shared" si="39"/>
        <v>0.22194250793370429</v>
      </c>
      <c r="K154">
        <f t="shared" si="39"/>
        <v>0.15790965133618329</v>
      </c>
      <c r="L154">
        <f t="shared" si="39"/>
        <v>9.2384347683946544E-2</v>
      </c>
      <c r="M154">
        <f t="shared" si="39"/>
        <v>0.12536659697690311</v>
      </c>
      <c r="N154">
        <f t="shared" si="39"/>
        <v>5.6856399215121201E-2</v>
      </c>
      <c r="O154">
        <f t="shared" si="39"/>
        <v>1.3146245601376449E-2</v>
      </c>
      <c r="P154">
        <f t="shared" si="39"/>
        <v>8.4641337472646683E-2</v>
      </c>
      <c r="Q154">
        <f t="shared" si="39"/>
        <v>0.1576288763986895</v>
      </c>
      <c r="R154">
        <f t="shared" si="39"/>
        <v>0.23210886237956174</v>
      </c>
      <c r="S154">
        <f t="shared" si="39"/>
        <v>0.20808129541512699</v>
      </c>
      <c r="T154">
        <f t="shared" si="39"/>
        <v>0.28554617550537387</v>
      </c>
      <c r="U154">
        <f t="shared" si="39"/>
        <v>0.36450350265050702</v>
      </c>
    </row>
    <row r="155" spans="1:21">
      <c r="A155">
        <v>35</v>
      </c>
      <c r="B155">
        <v>35</v>
      </c>
      <c r="C155">
        <f t="shared" ref="C155:U155" si="40">ABS(C46-C102)</f>
        <v>0.59146096975172213</v>
      </c>
      <c r="D155">
        <f t="shared" si="40"/>
        <v>0.53787524253749552</v>
      </c>
      <c r="E155">
        <f t="shared" si="40"/>
        <v>0.58279706826857591</v>
      </c>
      <c r="F155">
        <f t="shared" si="40"/>
        <v>0.52622644694480414</v>
      </c>
      <c r="G155">
        <f t="shared" si="40"/>
        <v>0.46816337856637347</v>
      </c>
      <c r="H155">
        <f t="shared" si="40"/>
        <v>0.40860786313311337</v>
      </c>
      <c r="I155">
        <f t="shared" si="40"/>
        <v>0.34755990064513753</v>
      </c>
      <c r="J155">
        <f t="shared" si="40"/>
        <v>0.28501949110238911</v>
      </c>
      <c r="K155">
        <f t="shared" si="40"/>
        <v>0.22098663450486811</v>
      </c>
      <c r="L155">
        <f t="shared" si="40"/>
        <v>0.15546133085268821</v>
      </c>
      <c r="M155">
        <f t="shared" si="40"/>
        <v>8.8443580145622036E-2</v>
      </c>
      <c r="N155">
        <f t="shared" si="40"/>
        <v>1.9933382383840126E-2</v>
      </c>
      <c r="O155">
        <f t="shared" si="40"/>
        <v>5.0069262432657524E-2</v>
      </c>
      <c r="P155">
        <f t="shared" si="40"/>
        <v>0.1215643543039846</v>
      </c>
      <c r="Q155">
        <f t="shared" si="40"/>
        <v>0.19455189322997057</v>
      </c>
      <c r="R155">
        <f t="shared" si="40"/>
        <v>0.26903187921084282</v>
      </c>
      <c r="S155">
        <f t="shared" si="40"/>
        <v>0.34500431224637396</v>
      </c>
      <c r="T155">
        <f t="shared" si="40"/>
        <v>0.42246919233667768</v>
      </c>
      <c r="U155">
        <f t="shared" si="40"/>
        <v>0.50142651948181083</v>
      </c>
    </row>
    <row r="156" spans="1:21">
      <c r="A156">
        <v>36</v>
      </c>
      <c r="B156">
        <v>36</v>
      </c>
      <c r="C156">
        <f t="shared" ref="C156:U156" si="41">ABS(C47-C103)</f>
        <v>0.7580889681988765</v>
      </c>
      <c r="D156">
        <f t="shared" si="41"/>
        <v>0.70450324098464989</v>
      </c>
      <c r="E156">
        <f t="shared" si="41"/>
        <v>0.64942506671570754</v>
      </c>
      <c r="F156">
        <f t="shared" si="41"/>
        <v>0.59285444539199261</v>
      </c>
      <c r="G156">
        <f t="shared" si="41"/>
        <v>0.4347913770135392</v>
      </c>
      <c r="H156">
        <f t="shared" si="41"/>
        <v>0.37523586158027911</v>
      </c>
      <c r="I156">
        <f t="shared" si="41"/>
        <v>0.31418789909224643</v>
      </c>
      <c r="J156">
        <f t="shared" si="41"/>
        <v>0.25164748954955485</v>
      </c>
      <c r="K156">
        <f t="shared" si="41"/>
        <v>0.18761463295203384</v>
      </c>
      <c r="L156">
        <f t="shared" si="41"/>
        <v>0.12208932929985394</v>
      </c>
      <c r="M156">
        <f t="shared" si="41"/>
        <v>5.5071578592787773E-2</v>
      </c>
      <c r="N156">
        <f t="shared" si="41"/>
        <v>1.343861916905098E-2</v>
      </c>
      <c r="O156">
        <f t="shared" si="41"/>
        <v>8.3441263985491787E-2</v>
      </c>
      <c r="P156">
        <f t="shared" si="41"/>
        <v>0.15493635585681886</v>
      </c>
      <c r="Q156">
        <f t="shared" si="41"/>
        <v>0.22792389478280484</v>
      </c>
      <c r="R156">
        <f t="shared" si="41"/>
        <v>0.30240388076367708</v>
      </c>
      <c r="S156">
        <f t="shared" si="41"/>
        <v>0.37837631379926506</v>
      </c>
      <c r="T156">
        <f t="shared" si="41"/>
        <v>0.45584119388951194</v>
      </c>
      <c r="U156">
        <f t="shared" si="41"/>
        <v>0.53479852103464509</v>
      </c>
    </row>
    <row r="157" spans="1:21">
      <c r="A157">
        <v>37</v>
      </c>
      <c r="B157">
        <v>37</v>
      </c>
      <c r="C157">
        <f t="shared" ref="C157:U157" si="42">ABS(C48-C104)</f>
        <v>0.82826798192456863</v>
      </c>
      <c r="D157">
        <f t="shared" si="42"/>
        <v>0.77468225471034202</v>
      </c>
      <c r="E157">
        <f t="shared" si="42"/>
        <v>0.71960408044145652</v>
      </c>
      <c r="F157">
        <f t="shared" si="42"/>
        <v>0.66303345911768474</v>
      </c>
      <c r="G157">
        <f t="shared" si="42"/>
        <v>0.50497039073923133</v>
      </c>
      <c r="H157">
        <f t="shared" si="42"/>
        <v>0.44541487530597124</v>
      </c>
      <c r="I157">
        <f t="shared" si="42"/>
        <v>0.3843669128179954</v>
      </c>
      <c r="J157">
        <f t="shared" si="42"/>
        <v>0.32182650327524698</v>
      </c>
      <c r="K157">
        <f t="shared" si="42"/>
        <v>0.25779364667778282</v>
      </c>
      <c r="L157">
        <f t="shared" si="42"/>
        <v>9.2268343025523336E-2</v>
      </c>
      <c r="M157">
        <f t="shared" si="42"/>
        <v>2.5250592318514009E-2</v>
      </c>
      <c r="N157">
        <f t="shared" si="42"/>
        <v>4.3259605443324745E-2</v>
      </c>
      <c r="O157">
        <f t="shared" si="42"/>
        <v>0.11326225025976555</v>
      </c>
      <c r="P157">
        <f t="shared" si="42"/>
        <v>0.18475734213109263</v>
      </c>
      <c r="Q157">
        <f t="shared" si="42"/>
        <v>0.35774488105710134</v>
      </c>
      <c r="R157">
        <f t="shared" si="42"/>
        <v>0.43222486703797358</v>
      </c>
      <c r="S157">
        <f t="shared" si="42"/>
        <v>0.50819730007350472</v>
      </c>
      <c r="T157">
        <f t="shared" si="42"/>
        <v>0.58566218016380844</v>
      </c>
      <c r="U157">
        <f t="shared" si="42"/>
        <v>0.66461950730894159</v>
      </c>
    </row>
    <row r="158" spans="1:21">
      <c r="A158">
        <v>38</v>
      </c>
      <c r="B158">
        <v>38</v>
      </c>
      <c r="C158">
        <f t="shared" ref="C158:U158" si="43">ABS(C49-C105)</f>
        <v>0.90199801092876442</v>
      </c>
      <c r="D158">
        <f t="shared" si="43"/>
        <v>0.84841228371459465</v>
      </c>
      <c r="E158">
        <f t="shared" si="43"/>
        <v>0.7933341094456523</v>
      </c>
      <c r="F158">
        <f t="shared" si="43"/>
        <v>0.63676348812191463</v>
      </c>
      <c r="G158">
        <f t="shared" si="43"/>
        <v>0.57870041974342712</v>
      </c>
      <c r="H158">
        <f t="shared" si="43"/>
        <v>0.51914490431022386</v>
      </c>
      <c r="I158">
        <f t="shared" si="43"/>
        <v>0.35809694182222529</v>
      </c>
      <c r="J158">
        <f t="shared" si="43"/>
        <v>0.29555653227947687</v>
      </c>
      <c r="K158">
        <f t="shared" si="43"/>
        <v>0.23152367568195587</v>
      </c>
      <c r="L158">
        <f t="shared" si="43"/>
        <v>6.5998372029753227E-2</v>
      </c>
      <c r="M158">
        <f t="shared" si="43"/>
        <v>1.0193786772560998E-3</v>
      </c>
      <c r="N158">
        <f t="shared" si="43"/>
        <v>6.9529576439094853E-2</v>
      </c>
      <c r="O158">
        <f t="shared" si="43"/>
        <v>0.2395322212555584</v>
      </c>
      <c r="P158">
        <f t="shared" si="43"/>
        <v>0.31102731312688547</v>
      </c>
      <c r="Q158">
        <f t="shared" si="43"/>
        <v>0.38401485205287145</v>
      </c>
      <c r="R158">
        <f t="shared" si="43"/>
        <v>0.55849483803376643</v>
      </c>
      <c r="S158">
        <f t="shared" si="43"/>
        <v>0.63446727106929757</v>
      </c>
      <c r="T158">
        <f t="shared" si="43"/>
        <v>0.71193215115960129</v>
      </c>
      <c r="U158">
        <f t="shared" si="43"/>
        <v>0.89088947830470033</v>
      </c>
    </row>
    <row r="159" spans="1:21">
      <c r="A159">
        <v>39</v>
      </c>
      <c r="B159">
        <v>39</v>
      </c>
      <c r="C159">
        <f t="shared" ref="C159:U159" si="44">ABS(C50-C106)</f>
        <v>1.0792790552115434</v>
      </c>
      <c r="D159">
        <f t="shared" si="44"/>
        <v>0.92569332799735093</v>
      </c>
      <c r="E159">
        <f t="shared" si="44"/>
        <v>0.87061515372846543</v>
      </c>
      <c r="F159">
        <f t="shared" si="44"/>
        <v>0.71404453240467092</v>
      </c>
      <c r="G159">
        <f t="shared" si="44"/>
        <v>0.65598146402624025</v>
      </c>
      <c r="H159">
        <f t="shared" si="44"/>
        <v>0.49642594859301425</v>
      </c>
      <c r="I159">
        <f t="shared" si="44"/>
        <v>0.43537798610498157</v>
      </c>
      <c r="J159">
        <f t="shared" si="44"/>
        <v>0.27283757656226726</v>
      </c>
      <c r="K159">
        <f t="shared" si="44"/>
        <v>0.20880471996474625</v>
      </c>
      <c r="L159">
        <f t="shared" si="44"/>
        <v>4.3279416312543617E-2</v>
      </c>
      <c r="M159">
        <f t="shared" si="44"/>
        <v>2.3738334394522553E-2</v>
      </c>
      <c r="N159">
        <f t="shared" si="44"/>
        <v>0.1922485321563272</v>
      </c>
      <c r="O159">
        <f t="shared" si="44"/>
        <v>0.26225117697276801</v>
      </c>
      <c r="P159">
        <f t="shared" si="44"/>
        <v>0.43374626884411782</v>
      </c>
      <c r="Q159">
        <f t="shared" si="44"/>
        <v>0.50673380777010379</v>
      </c>
      <c r="R159">
        <f t="shared" si="44"/>
        <v>0.58121379375097604</v>
      </c>
      <c r="S159">
        <f t="shared" si="44"/>
        <v>0.75718622678652991</v>
      </c>
      <c r="T159">
        <f t="shared" si="44"/>
        <v>0.83465110687683364</v>
      </c>
      <c r="U159">
        <f t="shared" si="44"/>
        <v>1.0136084340219327</v>
      </c>
    </row>
    <row r="160" spans="1:21">
      <c r="A160">
        <v>40</v>
      </c>
      <c r="B160">
        <v>40</v>
      </c>
      <c r="C160">
        <f t="shared" ref="C160:U160" si="45">ABS(C51-C107)</f>
        <v>1.1601111147728034</v>
      </c>
      <c r="D160">
        <f t="shared" si="45"/>
        <v>1.1065253875585768</v>
      </c>
      <c r="E160">
        <f t="shared" si="45"/>
        <v>0.95144721328966853</v>
      </c>
      <c r="F160">
        <f t="shared" si="45"/>
        <v>0.79487659196593086</v>
      </c>
      <c r="G160">
        <f t="shared" si="45"/>
        <v>0.73681352358744334</v>
      </c>
      <c r="H160">
        <f t="shared" si="45"/>
        <v>0.57725800815421735</v>
      </c>
      <c r="I160">
        <f t="shared" si="45"/>
        <v>0.41621004566621878</v>
      </c>
      <c r="J160">
        <f t="shared" si="45"/>
        <v>0.35366963612347035</v>
      </c>
      <c r="K160">
        <f t="shared" si="45"/>
        <v>0.18963677952598346</v>
      </c>
      <c r="L160">
        <f t="shared" si="45"/>
        <v>2.4111475873780819E-2</v>
      </c>
      <c r="M160">
        <f t="shared" si="45"/>
        <v>4.2906274833285352E-2</v>
      </c>
      <c r="N160">
        <f t="shared" si="45"/>
        <v>0.21141647259509</v>
      </c>
      <c r="O160">
        <f t="shared" si="45"/>
        <v>0.38141911741155354</v>
      </c>
      <c r="P160">
        <f t="shared" si="45"/>
        <v>0.45291420928288062</v>
      </c>
      <c r="Q160">
        <f t="shared" si="45"/>
        <v>0.62590174820888933</v>
      </c>
      <c r="R160">
        <f t="shared" si="45"/>
        <v>0.80038173418972747</v>
      </c>
      <c r="S160">
        <f t="shared" si="45"/>
        <v>0.87635416722531545</v>
      </c>
      <c r="T160">
        <f t="shared" si="45"/>
        <v>1.0538190473155851</v>
      </c>
      <c r="U160">
        <f t="shared" si="45"/>
        <v>1.2327763744606841</v>
      </c>
    </row>
    <row r="161" spans="1:21">
      <c r="A161">
        <v>41</v>
      </c>
      <c r="B161">
        <v>41</v>
      </c>
      <c r="C161">
        <f t="shared" ref="C161:U161" si="46">ABS(C52-C108)</f>
        <v>1.3444941896125329</v>
      </c>
      <c r="D161">
        <f t="shared" si="46"/>
        <v>1.1909084623983404</v>
      </c>
      <c r="E161">
        <f t="shared" si="46"/>
        <v>1.0358302881293753</v>
      </c>
      <c r="F161">
        <f t="shared" si="46"/>
        <v>0.87925966680563761</v>
      </c>
      <c r="G161">
        <f t="shared" si="46"/>
        <v>0.7211965984271842</v>
      </c>
      <c r="H161">
        <f t="shared" si="46"/>
        <v>0.56164108299395821</v>
      </c>
      <c r="I161">
        <f t="shared" si="46"/>
        <v>0.50059312050592553</v>
      </c>
      <c r="J161">
        <f t="shared" si="46"/>
        <v>0.33805271096321121</v>
      </c>
      <c r="K161">
        <f t="shared" si="46"/>
        <v>0.17401985436572431</v>
      </c>
      <c r="L161">
        <f t="shared" si="46"/>
        <v>8.4945507135216758E-3</v>
      </c>
      <c r="M161">
        <f t="shared" si="46"/>
        <v>0.15852319999356723</v>
      </c>
      <c r="N161">
        <f t="shared" si="46"/>
        <v>0.32703339775537188</v>
      </c>
      <c r="O161">
        <f t="shared" si="46"/>
        <v>0.39703604257181269</v>
      </c>
      <c r="P161">
        <f t="shared" si="46"/>
        <v>0.5685311344431625</v>
      </c>
      <c r="Q161">
        <f t="shared" si="46"/>
        <v>0.74151867336917121</v>
      </c>
      <c r="R161">
        <f t="shared" si="46"/>
        <v>0.91599865935000935</v>
      </c>
      <c r="S161">
        <f t="shared" si="46"/>
        <v>1.0919710923855632</v>
      </c>
      <c r="T161">
        <f t="shared" si="46"/>
        <v>1.2694359724758328</v>
      </c>
      <c r="U161">
        <f t="shared" si="46"/>
        <v>1.348393299620966</v>
      </c>
    </row>
    <row r="162" spans="1:21">
      <c r="A162">
        <v>42</v>
      </c>
      <c r="B162">
        <v>42</v>
      </c>
      <c r="C162">
        <f t="shared" ref="C162:U162" si="47">ABS(C53-C109)</f>
        <v>1.4324282797308001</v>
      </c>
      <c r="D162">
        <f t="shared" si="47"/>
        <v>1.2788425525166076</v>
      </c>
      <c r="E162">
        <f t="shared" si="47"/>
        <v>1.1237643782476994</v>
      </c>
      <c r="F162">
        <f t="shared" si="47"/>
        <v>0.9671937569239617</v>
      </c>
      <c r="G162">
        <f t="shared" si="47"/>
        <v>0.80913068854545145</v>
      </c>
      <c r="H162">
        <f t="shared" si="47"/>
        <v>0.64957517311222546</v>
      </c>
      <c r="I162">
        <f t="shared" si="47"/>
        <v>0.48852721062422688</v>
      </c>
      <c r="J162">
        <f t="shared" si="47"/>
        <v>0.32598680108151257</v>
      </c>
      <c r="K162">
        <f t="shared" si="47"/>
        <v>0.16195394448402567</v>
      </c>
      <c r="L162">
        <f t="shared" si="47"/>
        <v>3.5713591682338119E-3</v>
      </c>
      <c r="M162">
        <f t="shared" si="47"/>
        <v>0.17058910987526588</v>
      </c>
      <c r="N162">
        <f t="shared" si="47"/>
        <v>0.33909930763707052</v>
      </c>
      <c r="O162">
        <f t="shared" si="47"/>
        <v>0.60910195245355681</v>
      </c>
      <c r="P162">
        <f t="shared" si="47"/>
        <v>0.78059704432484978</v>
      </c>
      <c r="Q162">
        <f t="shared" si="47"/>
        <v>0.95358458325085849</v>
      </c>
      <c r="R162">
        <f t="shared" si="47"/>
        <v>1.1280645692316966</v>
      </c>
      <c r="S162">
        <f t="shared" si="47"/>
        <v>1.3040370022673073</v>
      </c>
      <c r="T162">
        <f t="shared" si="47"/>
        <v>1.481501882357577</v>
      </c>
      <c r="U162">
        <f t="shared" si="47"/>
        <v>1.660459209502676</v>
      </c>
    </row>
    <row r="163" spans="1:21">
      <c r="A163">
        <v>43</v>
      </c>
      <c r="B163">
        <v>43</v>
      </c>
      <c r="C163">
        <f t="shared" ref="C163:U163" si="48">ABS(C54-C110)</f>
        <v>1.5239133851276279</v>
      </c>
      <c r="D163">
        <f t="shared" si="48"/>
        <v>1.3703276579133785</v>
      </c>
      <c r="E163">
        <f t="shared" si="48"/>
        <v>1.2152494836444703</v>
      </c>
      <c r="F163">
        <f t="shared" si="48"/>
        <v>1.0586788623207326</v>
      </c>
      <c r="G163">
        <f t="shared" si="48"/>
        <v>0.80061579394225646</v>
      </c>
      <c r="H163">
        <f t="shared" si="48"/>
        <v>0.64106027850903047</v>
      </c>
      <c r="I163">
        <f t="shared" si="48"/>
        <v>0.48001231602103189</v>
      </c>
      <c r="J163">
        <f t="shared" si="48"/>
        <v>0.31747190647831758</v>
      </c>
      <c r="K163">
        <f t="shared" si="48"/>
        <v>5.3439049880807943E-2</v>
      </c>
      <c r="L163">
        <f t="shared" si="48"/>
        <v>0.11208625377139469</v>
      </c>
      <c r="M163">
        <f t="shared" si="48"/>
        <v>0.2791040044784836</v>
      </c>
      <c r="N163">
        <f t="shared" si="48"/>
        <v>0.44761420224028825</v>
      </c>
      <c r="O163">
        <f t="shared" si="48"/>
        <v>0.71761684705677453</v>
      </c>
      <c r="P163">
        <f t="shared" si="48"/>
        <v>0.8891119389280675</v>
      </c>
      <c r="Q163">
        <f t="shared" si="48"/>
        <v>1.0620994778540762</v>
      </c>
      <c r="R163">
        <f t="shared" si="48"/>
        <v>1.2365794638349143</v>
      </c>
      <c r="S163">
        <f t="shared" si="48"/>
        <v>1.512551896870491</v>
      </c>
      <c r="T163">
        <f t="shared" si="48"/>
        <v>1.6900167769607606</v>
      </c>
      <c r="U163">
        <f t="shared" si="48"/>
        <v>1.8689741041058596</v>
      </c>
    </row>
    <row r="164" spans="1:21">
      <c r="A164">
        <v>44</v>
      </c>
      <c r="B164">
        <v>44</v>
      </c>
      <c r="C164">
        <f t="shared" ref="C164:U164" si="49">ABS(C55-C111)</f>
        <v>1.7189495058029252</v>
      </c>
      <c r="D164">
        <f t="shared" si="49"/>
        <v>1.4653637785887099</v>
      </c>
      <c r="E164">
        <f t="shared" si="49"/>
        <v>1.3102856043198017</v>
      </c>
      <c r="F164">
        <f t="shared" si="49"/>
        <v>1.0537149829960413</v>
      </c>
      <c r="G164">
        <f t="shared" si="49"/>
        <v>0.89565191461758786</v>
      </c>
      <c r="H164">
        <f t="shared" si="49"/>
        <v>0.63609639918433913</v>
      </c>
      <c r="I164">
        <f t="shared" si="49"/>
        <v>0.47504843669634056</v>
      </c>
      <c r="J164">
        <f t="shared" si="49"/>
        <v>0.21250802715360351</v>
      </c>
      <c r="K164">
        <f t="shared" si="49"/>
        <v>4.8475170556116609E-2</v>
      </c>
      <c r="L164">
        <f t="shared" si="49"/>
        <v>0.21705013309610877</v>
      </c>
      <c r="M164">
        <f t="shared" si="49"/>
        <v>0.38406788380314083</v>
      </c>
      <c r="N164">
        <f t="shared" si="49"/>
        <v>0.65257808156496822</v>
      </c>
      <c r="O164">
        <f t="shared" si="49"/>
        <v>0.82258072638143176</v>
      </c>
      <c r="P164">
        <f t="shared" si="49"/>
        <v>1.0940758182527475</v>
      </c>
      <c r="Q164">
        <f t="shared" si="49"/>
        <v>1.2670633571787562</v>
      </c>
      <c r="R164">
        <f t="shared" si="49"/>
        <v>1.5415433431596171</v>
      </c>
      <c r="S164">
        <f t="shared" si="49"/>
        <v>1.7175157761951709</v>
      </c>
      <c r="T164">
        <f t="shared" si="49"/>
        <v>1.9949806562854633</v>
      </c>
      <c r="U164">
        <f t="shared" si="49"/>
        <v>2.1739379834305623</v>
      </c>
    </row>
    <row r="165" spans="1:21">
      <c r="A165">
        <v>45</v>
      </c>
      <c r="B165">
        <v>45</v>
      </c>
      <c r="C165">
        <f t="shared" ref="C165:U165" si="50">ABS(C56-C112)</f>
        <v>1.8175366417567602</v>
      </c>
      <c r="D165">
        <f t="shared" si="50"/>
        <v>1.563950914542545</v>
      </c>
      <c r="E165">
        <f t="shared" si="50"/>
        <v>1.4088727402736367</v>
      </c>
      <c r="F165">
        <f t="shared" si="50"/>
        <v>1.1523021189498763</v>
      </c>
      <c r="G165">
        <f t="shared" si="50"/>
        <v>0.89423905057140018</v>
      </c>
      <c r="H165">
        <f t="shared" si="50"/>
        <v>0.6346835351382083</v>
      </c>
      <c r="I165">
        <f t="shared" si="50"/>
        <v>0.47363557265015288</v>
      </c>
      <c r="J165">
        <f t="shared" si="50"/>
        <v>0.21109516310747267</v>
      </c>
      <c r="K165">
        <f t="shared" si="50"/>
        <v>5.2937693490036963E-2</v>
      </c>
      <c r="L165">
        <f t="shared" si="50"/>
        <v>0.31846299714226234</v>
      </c>
      <c r="M165">
        <f t="shared" si="50"/>
        <v>0.4854807478492944</v>
      </c>
      <c r="N165">
        <f t="shared" si="50"/>
        <v>0.75399094561112179</v>
      </c>
      <c r="O165">
        <f t="shared" si="50"/>
        <v>1.0239935904276081</v>
      </c>
      <c r="P165">
        <f t="shared" si="50"/>
        <v>1.2954886822989238</v>
      </c>
      <c r="Q165">
        <f t="shared" si="50"/>
        <v>1.4684762212249325</v>
      </c>
      <c r="R165">
        <f t="shared" si="50"/>
        <v>1.7429562072057934</v>
      </c>
      <c r="S165">
        <f t="shared" si="50"/>
        <v>2.0189286402413131</v>
      </c>
      <c r="T165">
        <f t="shared" si="50"/>
        <v>2.2963935203316055</v>
      </c>
      <c r="U165">
        <f t="shared" si="50"/>
        <v>2.4753508474767045</v>
      </c>
    </row>
    <row r="166" spans="1:21">
      <c r="A166">
        <v>46</v>
      </c>
      <c r="B166">
        <v>46</v>
      </c>
      <c r="C166">
        <f t="shared" ref="C166:U166" si="51">ABS(C57-C113)</f>
        <v>2.0196747929891217</v>
      </c>
      <c r="D166">
        <f t="shared" si="51"/>
        <v>1.7660890657749064</v>
      </c>
      <c r="E166">
        <f t="shared" si="51"/>
        <v>1.5110108915059755</v>
      </c>
      <c r="F166">
        <f t="shared" si="51"/>
        <v>1.2544402701822719</v>
      </c>
      <c r="G166">
        <f t="shared" si="51"/>
        <v>0.896377201803773</v>
      </c>
      <c r="H166">
        <f t="shared" si="51"/>
        <v>0.63682168637052428</v>
      </c>
      <c r="I166">
        <f t="shared" si="51"/>
        <v>0.37577372388255981</v>
      </c>
      <c r="J166">
        <f t="shared" si="51"/>
        <v>0.11323331433982275</v>
      </c>
      <c r="K166">
        <f t="shared" si="51"/>
        <v>0.15079954225768688</v>
      </c>
      <c r="L166">
        <f t="shared" si="51"/>
        <v>0.41632484590991226</v>
      </c>
      <c r="M166">
        <f t="shared" si="51"/>
        <v>0.68334259661696706</v>
      </c>
      <c r="N166">
        <f t="shared" si="51"/>
        <v>0.9518527943787376</v>
      </c>
      <c r="O166">
        <f t="shared" si="51"/>
        <v>1.2218554391952239</v>
      </c>
      <c r="P166">
        <f t="shared" si="51"/>
        <v>1.4933505310665396</v>
      </c>
      <c r="Q166">
        <f t="shared" si="51"/>
        <v>1.766338069992571</v>
      </c>
      <c r="R166">
        <f t="shared" si="51"/>
        <v>2.0408180559734319</v>
      </c>
      <c r="S166">
        <f t="shared" si="51"/>
        <v>2.3167904890089517</v>
      </c>
      <c r="T166">
        <f t="shared" si="51"/>
        <v>2.594255369099244</v>
      </c>
      <c r="U166">
        <f t="shared" si="51"/>
        <v>2.8732126962443658</v>
      </c>
    </row>
    <row r="167" spans="1:21">
      <c r="A167">
        <v>47</v>
      </c>
      <c r="B167">
        <v>47</v>
      </c>
      <c r="C167">
        <f t="shared" ref="C167:U167" si="52">ABS(C58-C114)</f>
        <v>2.1253639594999072</v>
      </c>
      <c r="D167">
        <f t="shared" si="52"/>
        <v>1.8717782322857488</v>
      </c>
      <c r="E167">
        <f t="shared" si="52"/>
        <v>1.5167000580167951</v>
      </c>
      <c r="F167">
        <f t="shared" si="52"/>
        <v>1.2601294366930347</v>
      </c>
      <c r="G167">
        <f t="shared" si="52"/>
        <v>1.0020663683146154</v>
      </c>
      <c r="H167">
        <f t="shared" si="52"/>
        <v>0.64251085288134391</v>
      </c>
      <c r="I167">
        <f t="shared" si="52"/>
        <v>0.3814628903933226</v>
      </c>
      <c r="J167">
        <f t="shared" si="52"/>
        <v>0.11892248085064239</v>
      </c>
      <c r="K167">
        <f t="shared" si="52"/>
        <v>0.24511037574688999</v>
      </c>
      <c r="L167">
        <f t="shared" si="52"/>
        <v>0.51063567939911536</v>
      </c>
      <c r="M167">
        <f t="shared" si="52"/>
        <v>0.77765343010611332</v>
      </c>
      <c r="N167">
        <f t="shared" si="52"/>
        <v>1.1461636278679634</v>
      </c>
      <c r="O167">
        <f t="shared" si="52"/>
        <v>1.4161662726844497</v>
      </c>
      <c r="P167">
        <f t="shared" si="52"/>
        <v>1.6876613645557086</v>
      </c>
      <c r="Q167">
        <f t="shared" si="52"/>
        <v>2.0606489034817628</v>
      </c>
      <c r="R167">
        <f t="shared" si="52"/>
        <v>2.3351288894626236</v>
      </c>
      <c r="S167">
        <f t="shared" si="52"/>
        <v>2.6111013224981434</v>
      </c>
      <c r="T167">
        <f t="shared" si="52"/>
        <v>2.9885662025884585</v>
      </c>
      <c r="U167">
        <f t="shared" si="52"/>
        <v>3.2675235297335803</v>
      </c>
    </row>
    <row r="168" spans="1:21">
      <c r="A168">
        <v>48</v>
      </c>
      <c r="B168">
        <v>48</v>
      </c>
      <c r="C168">
        <f t="shared" ref="C168:U168" si="53">ABS(C59-C115)</f>
        <v>2.334604141289276</v>
      </c>
      <c r="D168">
        <f t="shared" si="53"/>
        <v>1.9810184140750948</v>
      </c>
      <c r="E168">
        <f t="shared" si="53"/>
        <v>1.625940239806198</v>
      </c>
      <c r="F168">
        <f t="shared" si="53"/>
        <v>1.3693696184824375</v>
      </c>
      <c r="G168">
        <f t="shared" si="53"/>
        <v>1.0113065501039387</v>
      </c>
      <c r="H168">
        <f t="shared" si="53"/>
        <v>0.65175103467072404</v>
      </c>
      <c r="I168">
        <f t="shared" si="53"/>
        <v>0.29070307218273683</v>
      </c>
      <c r="J168">
        <f t="shared" si="53"/>
        <v>2.816266263999978E-2</v>
      </c>
      <c r="K168">
        <f t="shared" si="53"/>
        <v>0.33587019395753259</v>
      </c>
      <c r="L168">
        <f t="shared" si="53"/>
        <v>0.70139549760972386</v>
      </c>
      <c r="M168">
        <f t="shared" si="53"/>
        <v>0.96841324831677866</v>
      </c>
      <c r="N168">
        <f t="shared" si="53"/>
        <v>1.3369234460785719</v>
      </c>
      <c r="O168">
        <f t="shared" si="53"/>
        <v>1.706926090895081</v>
      </c>
      <c r="P168">
        <f t="shared" si="53"/>
        <v>1.9784211827663398</v>
      </c>
      <c r="Q168">
        <f t="shared" si="53"/>
        <v>2.351408721692394</v>
      </c>
      <c r="R168">
        <f t="shared" si="53"/>
        <v>2.7258887076732208</v>
      </c>
      <c r="S168">
        <f t="shared" si="53"/>
        <v>3.0018611407087974</v>
      </c>
      <c r="T168">
        <f t="shared" si="53"/>
        <v>3.3793260207990556</v>
      </c>
      <c r="U168">
        <f t="shared" si="53"/>
        <v>3.7582833479442002</v>
      </c>
    </row>
    <row r="169" spans="1:21">
      <c r="A169">
        <v>49</v>
      </c>
      <c r="B169">
        <v>49</v>
      </c>
      <c r="C169">
        <f t="shared" ref="C169:U169" si="54">ABS(C60-C116)</f>
        <v>2.4473953383571256</v>
      </c>
      <c r="D169">
        <f t="shared" si="54"/>
        <v>2.0938096111428877</v>
      </c>
      <c r="E169">
        <f t="shared" si="54"/>
        <v>1.7387314368739908</v>
      </c>
      <c r="F169">
        <f t="shared" si="54"/>
        <v>1.3821608155502645</v>
      </c>
      <c r="G169">
        <f t="shared" si="54"/>
        <v>1.0240977471717656</v>
      </c>
      <c r="H169">
        <f t="shared" si="54"/>
        <v>0.66454223173855098</v>
      </c>
      <c r="I169">
        <f t="shared" si="54"/>
        <v>0.30349426925050693</v>
      </c>
      <c r="J169">
        <f t="shared" si="54"/>
        <v>5.9046140292196014E-2</v>
      </c>
      <c r="K169">
        <f t="shared" si="54"/>
        <v>0.42307899688967154</v>
      </c>
      <c r="L169">
        <f t="shared" si="54"/>
        <v>0.78860430054191966</v>
      </c>
      <c r="M169">
        <f t="shared" si="54"/>
        <v>1.1556220512489404</v>
      </c>
      <c r="N169">
        <f t="shared" si="54"/>
        <v>1.5241322490107905</v>
      </c>
      <c r="O169">
        <f t="shared" si="54"/>
        <v>1.8941348938272426</v>
      </c>
      <c r="P169">
        <f t="shared" si="54"/>
        <v>2.2656299856985243</v>
      </c>
      <c r="Q169">
        <f t="shared" si="54"/>
        <v>2.6386175246245784</v>
      </c>
      <c r="R169">
        <f t="shared" si="54"/>
        <v>3.0130975106054052</v>
      </c>
      <c r="S169">
        <f t="shared" si="54"/>
        <v>3.3890699436410046</v>
      </c>
      <c r="T169">
        <f t="shared" si="54"/>
        <v>3.7665348237312628</v>
      </c>
      <c r="U169">
        <f t="shared" si="54"/>
        <v>4.2454921508763732</v>
      </c>
    </row>
    <row r="170" spans="1:21">
      <c r="A170">
        <v>50</v>
      </c>
      <c r="B170">
        <v>50</v>
      </c>
      <c r="C170">
        <f t="shared" ref="C170:U170" si="55">ABS(C61-C117)</f>
        <v>2.6637375507035017</v>
      </c>
      <c r="D170">
        <f t="shared" si="55"/>
        <v>2.2101518234892978</v>
      </c>
      <c r="E170">
        <f t="shared" si="55"/>
        <v>1.8550736492203441</v>
      </c>
      <c r="F170">
        <f t="shared" si="55"/>
        <v>1.3985030278965951</v>
      </c>
      <c r="G170">
        <f t="shared" si="55"/>
        <v>1.040439959518153</v>
      </c>
      <c r="H170">
        <f t="shared" si="55"/>
        <v>0.58088444408491569</v>
      </c>
      <c r="I170">
        <f t="shared" si="55"/>
        <v>0.21983648159692848</v>
      </c>
      <c r="J170">
        <f t="shared" si="55"/>
        <v>0.2427039279457972</v>
      </c>
      <c r="K170">
        <f t="shared" si="55"/>
        <v>0.60673678454332958</v>
      </c>
      <c r="L170">
        <f t="shared" si="55"/>
        <v>0.97226208819552085</v>
      </c>
      <c r="M170">
        <f t="shared" si="55"/>
        <v>1.4392798389025643</v>
      </c>
      <c r="N170">
        <f t="shared" si="55"/>
        <v>1.8077900366644144</v>
      </c>
      <c r="O170">
        <f t="shared" si="55"/>
        <v>2.2777926814808893</v>
      </c>
      <c r="P170">
        <f t="shared" si="55"/>
        <v>2.6492877733521709</v>
      </c>
      <c r="Q170">
        <f t="shared" si="55"/>
        <v>3.0222753122781683</v>
      </c>
      <c r="R170">
        <f t="shared" si="55"/>
        <v>3.4967552982590178</v>
      </c>
      <c r="S170">
        <f t="shared" si="55"/>
        <v>3.8727277312946171</v>
      </c>
      <c r="T170">
        <f t="shared" si="55"/>
        <v>4.3501926113848981</v>
      </c>
      <c r="U170">
        <f t="shared" si="55"/>
        <v>4.7291499385299858</v>
      </c>
    </row>
    <row r="171" spans="1:21">
      <c r="A171" t="s">
        <v>3</v>
      </c>
      <c r="B171" t="s">
        <v>9</v>
      </c>
      <c r="C171">
        <f>SUM(C120:U170)</f>
        <v>394.99819547942911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7:H12"/>
  <sheetViews>
    <sheetView workbookViewId="0">
      <selection activeCell="D12" sqref="D12"/>
    </sheetView>
  </sheetViews>
  <sheetFormatPr defaultRowHeight="15"/>
  <cols>
    <col min="1" max="1" width="24.28515625" customWidth="1"/>
    <col min="5" max="5" width="6.7109375" customWidth="1"/>
    <col min="7" max="7" width="6" customWidth="1"/>
    <col min="8" max="8" width="10.140625" bestFit="1" customWidth="1"/>
  </cols>
  <sheetData>
    <row r="7" spans="1:8">
      <c r="A7" t="s">
        <v>12</v>
      </c>
    </row>
    <row r="8" spans="1:8">
      <c r="A8" t="s">
        <v>13</v>
      </c>
      <c r="D8">
        <v>62</v>
      </c>
      <c r="E8" t="s">
        <v>20</v>
      </c>
      <c r="F8">
        <f>CONVERT(D8, "F", "C")</f>
        <v>16.666666666666668</v>
      </c>
      <c r="G8" s="2" t="s">
        <v>19</v>
      </c>
    </row>
    <row r="10" spans="1:8">
      <c r="A10" t="s">
        <v>14</v>
      </c>
      <c r="B10">
        <v>25</v>
      </c>
    </row>
    <row r="11" spans="1:8">
      <c r="A11" t="s">
        <v>15</v>
      </c>
      <c r="B11">
        <v>40</v>
      </c>
      <c r="H11" t="s">
        <v>21</v>
      </c>
    </row>
    <row r="12" spans="1:8">
      <c r="A12" t="s">
        <v>16</v>
      </c>
      <c r="B12" s="3">
        <f ca="1">calc_vel(B10,B11)</f>
        <v>346.5</v>
      </c>
      <c r="C12" t="s">
        <v>17</v>
      </c>
      <c r="D12" s="4">
        <f ca="1">B12*0.0001</f>
        <v>3.465E-2</v>
      </c>
      <c r="E12" t="s">
        <v>18</v>
      </c>
      <c r="H12" s="3">
        <f>331.5 +0.6*B10</f>
        <v>346.5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Calculator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Dyrkacz</dc:creator>
  <cp:lastModifiedBy>Gary Dyrkacz</cp:lastModifiedBy>
  <dcterms:created xsi:type="dcterms:W3CDTF">2020-01-08T16:27:26Z</dcterms:created>
  <dcterms:modified xsi:type="dcterms:W3CDTF">2020-10-26T14:02:07Z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1140ead4-ab74-4856-a4d1-7ca40c10799a</vt:lpwstr>
  </property>
</Properties>
</file>